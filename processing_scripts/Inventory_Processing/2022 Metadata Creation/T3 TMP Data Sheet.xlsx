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<sst xmlns="http://schemas.openxmlformats.org/spreadsheetml/2006/main" count="295" uniqueCount="53">
  <si>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</si>
  <si>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</si>
  <si>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</si>
  <si>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</si>
  <si>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NA</t>
  </si>
  <si>
    <t>End:</t>
  </si>
  <si>
    <t>Personnel:</t>
  </si>
  <si>
    <t>MKB</t>
  </si>
  <si>
    <t>Depth: 15cm</t>
  </si>
  <si>
    <t>Plot</t>
  </si>
  <si>
    <t>Grid Square</t>
  </si>
  <si>
    <t>15mL Falcon Tube</t>
  </si>
  <si>
    <t>—</t>
  </si>
  <si>
    <t>2mL Glass Vial</t>
  </si>
  <si>
    <t>40mL Amber Vials</t>
  </si>
  <si>
    <t>OO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</si>
  <si>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</si>
  <si>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</si>
  <si>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</si>
  <si>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</si>
  <si>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</si>
  <si>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</si>
  <si>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</si>
  <si>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</si>
  <si>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</si>
  <si>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</si>
  <si>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</si>
  <si>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</si>
  <si>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</si>
  <si>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</t>
  </si>
  <si>
    <t>Total Volume</t>
  </si>
  <si>
    <t>Evacuated (cb)</t>
  </si>
  <si>
    <t>SEAWATER</t>
  </si>
  <si>
    <t>FRESHWATER</t>
  </si>
  <si>
    <t>C3</t>
  </si>
  <si>
    <t>General note: raining relatively hard, but not pouring. Pools near many of the lysimeters but not as many or as large as during water treatment</t>
  </si>
  <si>
    <t>C6</t>
  </si>
  <si>
    <t>General note: Vibes- wet AF aka drowned rat</t>
  </si>
  <si>
    <t>Dead frog near lysimeter</t>
  </si>
  <si>
    <t>F4</t>
  </si>
  <si>
    <t xml:space="preserve">CONTROL </t>
  </si>
  <si>
    <t>H3</t>
  </si>
  <si>
    <t>less than 1, discarded</t>
  </si>
  <si>
    <t>H6</t>
  </si>
  <si>
    <t>B4</t>
  </si>
  <si>
    <t>got knocked or not sealed properly, no pressure built</t>
  </si>
  <si>
    <t>D5</t>
  </si>
  <si>
    <t>E3</t>
  </si>
  <si>
    <t>F6</t>
  </si>
  <si>
    <t>lost a couple mLs of pooled samples</t>
  </si>
  <si>
    <t>I5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</si>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</sst>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00DA63"/>
        <bgColor rgb="FF00DA63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0" fillId="0" fontId="2" numFmtId="165" xfId="0" applyAlignment="1" applyFont="1" applyNumberFormat="1">
      <alignment readingOrder="0" vertical="bottom"/>
    </xf>
    <xf borderId="2" fillId="0" fontId="1" numFmtId="0" xfId="0" applyAlignment="1" applyBorder="1" applyFont="1">
      <alignment horizontal="center" shrinkToFit="0" wrapText="1"/>
    </xf>
    <xf borderId="3" fillId="4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5" fontId="1" numFmtId="0" xfId="0" applyAlignment="1" applyBorder="1" applyFill="1" applyFont="1">
      <alignment shrinkToFit="0" wrapText="1"/>
    </xf>
    <xf borderId="1" fillId="6" fontId="1" numFmtId="0" xfId="0" applyAlignment="1" applyBorder="1" applyFill="1" applyFont="1">
      <alignment horizontal="center" shrinkToFit="0" wrapText="1"/>
    </xf>
    <xf borderId="3" fillId="7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0" fillId="0" fontId="1" numFmtId="0" xfId="0" applyAlignment="1" applyFont="1">
      <alignment horizontal="center" shrinkToFit="0" vertical="bottom" wrapText="1"/>
    </xf>
    <xf borderId="6" fillId="0" fontId="3" numFmtId="0" xfId="0" applyBorder="1" applyFont="1"/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2" fillId="8" fontId="1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1" fillId="8" fontId="2" numFmtId="0" xfId="0" applyAlignment="1" applyBorder="1" applyFont="1">
      <alignment horizontal="center"/>
    </xf>
    <xf borderId="1" fillId="9" fontId="2" numFmtId="0" xfId="0" applyAlignment="1" applyBorder="1" applyFont="1">
      <alignment horizontal="center"/>
    </xf>
    <xf borderId="1" fillId="9" fontId="2" numFmtId="0" xfId="0" applyAlignment="1" applyBorder="1" applyFont="1">
      <alignment readingOrder="0"/>
    </xf>
    <xf borderId="1" fillId="9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9" fontId="2" numFmtId="0" xfId="0" applyAlignment="1" applyBorder="1" applyFont="1">
      <alignment readingOrder="0" vertical="bottom"/>
    </xf>
    <xf borderId="1" fillId="10" fontId="2" numFmtId="0" xfId="0" applyAlignment="1" applyBorder="1" applyFill="1" applyFont="1">
      <alignment horizontal="center" readingOrder="0"/>
    </xf>
    <xf borderId="0" fillId="0" fontId="2" numFmtId="0" xfId="0" applyFont="1"/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>
        <v>0.40347222222222223</v>
      </c>
      <c r="E3" s="4" t="s">
        <v>5</v>
      </c>
      <c r="F3" s="6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7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9" t="s">
        <v>9</v>
      </c>
      <c r="B6" s="12" t="s">
        <v>10</v>
      </c>
      <c r="C6" s="13" t="s">
        <v>11</v>
      </c>
      <c r="D6" s="14"/>
      <c r="E6" s="15" t="s">
        <v>13</v>
      </c>
      <c r="F6" s="16" t="s">
        <v>14</v>
      </c>
      <c r="G6" s="17" t="s">
        <v>16</v>
      </c>
      <c r="H6" s="14"/>
      <c r="I6" s="18" t="s">
        <v>17</v>
      </c>
      <c r="J6" s="14"/>
      <c r="K6" s="19"/>
      <c r="L6" s="20" t="s">
        <v>18</v>
      </c>
      <c r="M6" s="21"/>
      <c r="N6" s="14"/>
      <c r="O6" s="22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1" t="s">
        <v>28</v>
      </c>
      <c r="M7" s="32" t="s">
        <v>29</v>
      </c>
      <c r="N7" s="31" t="s">
        <v>31</v>
      </c>
    </row>
    <row r="8">
      <c r="A8" s="33" t="s">
        <v>32</v>
      </c>
      <c r="B8" s="34" t="s">
        <v>34</v>
      </c>
      <c r="C8" s="36">
        <v>10.0</v>
      </c>
      <c r="D8" s="37">
        <v>5.0</v>
      </c>
      <c r="E8" s="37">
        <v>1.5</v>
      </c>
      <c r="F8" s="37">
        <v>30.0</v>
      </c>
      <c r="G8" s="37">
        <v>1.5</v>
      </c>
      <c r="H8" s="37">
        <v>1.5</v>
      </c>
      <c r="I8" s="36">
        <v>25.0</v>
      </c>
      <c r="J8" s="37" t="s">
        <v>12</v>
      </c>
      <c r="K8" s="37"/>
      <c r="L8" s="37" t="s">
        <v>35</v>
      </c>
      <c r="M8" s="37">
        <v>78.0</v>
      </c>
      <c r="N8" s="37">
        <v>49.0</v>
      </c>
    </row>
    <row r="9">
      <c r="A9" s="33" t="s">
        <v>32</v>
      </c>
      <c r="B9" s="38" t="s">
        <v>36</v>
      </c>
      <c r="C9" s="39">
        <v>7.0</v>
      </c>
      <c r="D9" s="40" t="s">
        <v>12</v>
      </c>
      <c r="E9" s="40">
        <v>1.5</v>
      </c>
      <c r="F9" s="40" t="s">
        <v>12</v>
      </c>
      <c r="G9" s="40">
        <v>1.5</v>
      </c>
      <c r="H9" s="40" t="s">
        <v>12</v>
      </c>
      <c r="I9" s="39">
        <v>0.5</v>
      </c>
      <c r="J9" s="37" t="s">
        <v>12</v>
      </c>
      <c r="K9" s="40"/>
      <c r="L9" s="40" t="s">
        <v>38</v>
      </c>
      <c r="M9" s="40">
        <v>12.0</v>
      </c>
      <c r="N9" s="40">
        <v>47.0</v>
      </c>
    </row>
    <row r="10">
      <c r="A10" s="33" t="s">
        <v>32</v>
      </c>
      <c r="B10" s="34" t="s">
        <v>39</v>
      </c>
      <c r="C10" s="36">
        <v>7.0</v>
      </c>
      <c r="D10" s="37">
        <v>2.5</v>
      </c>
      <c r="E10" s="37">
        <v>1.5</v>
      </c>
      <c r="F10" s="37" t="s">
        <v>12</v>
      </c>
      <c r="G10" s="37" t="s">
        <v>12</v>
      </c>
      <c r="H10" s="40" t="s">
        <v>12</v>
      </c>
      <c r="I10" s="36">
        <v>1.0</v>
      </c>
      <c r="J10" s="37" t="s">
        <v>12</v>
      </c>
      <c r="K10" s="45"/>
      <c r="L10" s="45"/>
      <c r="M10" s="37">
        <v>13.0</v>
      </c>
      <c r="N10" s="37">
        <v>48.0</v>
      </c>
    </row>
    <row r="11">
      <c r="A11" s="33" t="s">
        <v>32</v>
      </c>
      <c r="B11" s="38" t="s">
        <v>41</v>
      </c>
      <c r="C11" s="39">
        <v>7.0</v>
      </c>
      <c r="D11" s="40" t="s">
        <v>12</v>
      </c>
      <c r="E11" s="40">
        <v>1.5</v>
      </c>
      <c r="F11" s="40" t="s">
        <v>12</v>
      </c>
      <c r="G11" s="40" t="s">
        <v>12</v>
      </c>
      <c r="H11" s="40" t="s">
        <v>12</v>
      </c>
      <c r="I11" s="39">
        <v>0.5</v>
      </c>
      <c r="J11" s="37" t="s">
        <v>12</v>
      </c>
      <c r="K11" s="46"/>
      <c r="L11" s="46"/>
      <c r="M11" s="40">
        <v>9.0</v>
      </c>
      <c r="N11" s="40">
        <v>50.0</v>
      </c>
    </row>
    <row r="12">
      <c r="A12" s="33" t="s">
        <v>32</v>
      </c>
      <c r="B12" s="34" t="s">
        <v>43</v>
      </c>
      <c r="C12" s="36">
        <v>7.0</v>
      </c>
      <c r="D12" s="37">
        <v>2.5</v>
      </c>
      <c r="E12" s="37">
        <v>1.5</v>
      </c>
      <c r="F12" s="37">
        <v>15.0</v>
      </c>
      <c r="G12" s="37">
        <v>1.5</v>
      </c>
      <c r="H12" s="37">
        <v>1.5</v>
      </c>
      <c r="I12" s="36">
        <v>0.5</v>
      </c>
      <c r="J12" s="37" t="s">
        <v>12</v>
      </c>
      <c r="K12" s="45"/>
      <c r="L12" s="45"/>
      <c r="M12" s="37">
        <v>30.0</v>
      </c>
      <c r="N12" s="37">
        <v>49.0</v>
      </c>
    </row>
    <row r="13">
      <c r="A13" s="33" t="s">
        <v>32</v>
      </c>
      <c r="B13" s="38" t="s">
        <v>44</v>
      </c>
      <c r="C13" s="39">
        <v>10.0</v>
      </c>
      <c r="D13" s="40" t="s">
        <v>12</v>
      </c>
      <c r="E13" s="40">
        <v>1.5</v>
      </c>
      <c r="F13" s="40" t="s">
        <v>12</v>
      </c>
      <c r="G13" s="40" t="s">
        <v>12</v>
      </c>
      <c r="H13" s="40" t="s">
        <v>12</v>
      </c>
      <c r="I13" s="51">
        <v>25.0</v>
      </c>
      <c r="J13" s="37" t="s">
        <v>12</v>
      </c>
      <c r="K13" s="46"/>
      <c r="L13" s="46"/>
      <c r="M13" s="40">
        <v>64.0</v>
      </c>
      <c r="N13" s="40">
        <v>48.0</v>
      </c>
    </row>
    <row r="14">
      <c r="A14" s="33" t="s">
        <v>32</v>
      </c>
      <c r="B14" s="34" t="s">
        <v>46</v>
      </c>
      <c r="C14" s="36">
        <v>7.0</v>
      </c>
      <c r="D14" s="37" t="s">
        <v>12</v>
      </c>
      <c r="E14" s="37">
        <v>1.5</v>
      </c>
      <c r="F14" s="37" t="s">
        <v>12</v>
      </c>
      <c r="G14" s="40" t="s">
        <v>12</v>
      </c>
      <c r="H14" s="40" t="s">
        <v>12</v>
      </c>
      <c r="I14" s="36">
        <v>7.0</v>
      </c>
      <c r="J14" s="37" t="s">
        <v>12</v>
      </c>
      <c r="K14" s="45"/>
      <c r="L14" s="45"/>
      <c r="M14" s="37">
        <v>17.0</v>
      </c>
      <c r="N14" s="37">
        <v>48.0</v>
      </c>
    </row>
    <row r="15">
      <c r="A15" s="33" t="s">
        <v>32</v>
      </c>
      <c r="B15" s="38" t="s">
        <v>47</v>
      </c>
      <c r="C15" s="39">
        <v>7.0</v>
      </c>
      <c r="D15" s="40" t="s">
        <v>12</v>
      </c>
      <c r="E15" s="40">
        <v>1.5</v>
      </c>
      <c r="F15" s="40" t="s">
        <v>12</v>
      </c>
      <c r="G15" s="40" t="s">
        <v>12</v>
      </c>
      <c r="H15" s="40" t="s">
        <v>12</v>
      </c>
      <c r="I15" s="39">
        <v>12.0</v>
      </c>
      <c r="J15" s="37" t="s">
        <v>12</v>
      </c>
      <c r="K15" s="46"/>
      <c r="L15" s="46"/>
      <c r="M15" s="40">
        <v>23.0</v>
      </c>
      <c r="N15" s="40">
        <v>48.0</v>
      </c>
    </row>
    <row r="16">
      <c r="A16" s="33" t="s">
        <v>32</v>
      </c>
      <c r="B16" s="34" t="s">
        <v>48</v>
      </c>
      <c r="C16" s="36">
        <v>10.0</v>
      </c>
      <c r="D16" s="37" t="s">
        <v>12</v>
      </c>
      <c r="E16" s="37">
        <v>1.5</v>
      </c>
      <c r="F16" s="37" t="s">
        <v>12</v>
      </c>
      <c r="G16" s="40" t="s">
        <v>12</v>
      </c>
      <c r="H16" s="40" t="s">
        <v>12</v>
      </c>
      <c r="I16" s="36">
        <v>25.0</v>
      </c>
      <c r="J16" s="37" t="s">
        <v>12</v>
      </c>
      <c r="K16" s="45"/>
      <c r="L16" s="45"/>
      <c r="M16" s="37">
        <v>67.0</v>
      </c>
      <c r="N16" s="37">
        <v>48.0</v>
      </c>
    </row>
    <row r="17">
      <c r="A17" s="33" t="s">
        <v>32</v>
      </c>
      <c r="B17" s="38" t="s">
        <v>50</v>
      </c>
      <c r="C17" s="39">
        <v>10.0</v>
      </c>
      <c r="D17" s="40" t="s">
        <v>12</v>
      </c>
      <c r="E17" s="40">
        <v>1.5</v>
      </c>
      <c r="F17" s="40" t="s">
        <v>12</v>
      </c>
      <c r="G17" s="40" t="s">
        <v>12</v>
      </c>
      <c r="H17" s="40" t="s">
        <v>12</v>
      </c>
      <c r="I17" s="39">
        <v>25.0</v>
      </c>
      <c r="J17" s="37" t="s">
        <v>12</v>
      </c>
      <c r="K17" s="46"/>
      <c r="L17" s="46"/>
      <c r="M17" s="40">
        <v>92.0</v>
      </c>
      <c r="N17" s="40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7" t="s">
        <v>4</v>
      </c>
      <c r="E3" s="4" t="s">
        <v>5</v>
      </c>
      <c r="F3" s="7" t="s">
        <v>4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0" t="s">
        <v>9</v>
      </c>
      <c r="B6" s="12" t="s">
        <v>10</v>
      </c>
      <c r="C6" s="13" t="s">
        <v>11</v>
      </c>
      <c r="D6" s="14"/>
      <c r="E6" s="15" t="s">
        <v>13</v>
      </c>
      <c r="F6" s="16" t="s">
        <v>14</v>
      </c>
      <c r="G6" s="17" t="s">
        <v>16</v>
      </c>
      <c r="H6" s="14"/>
      <c r="I6" s="18" t="s">
        <v>17</v>
      </c>
      <c r="J6" s="14"/>
      <c r="K6" s="19"/>
      <c r="L6" s="20" t="s">
        <v>18</v>
      </c>
      <c r="M6" s="21"/>
      <c r="N6" s="14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1" t="s">
        <v>28</v>
      </c>
      <c r="M7" s="32" t="s">
        <v>30</v>
      </c>
      <c r="N7" s="31" t="s">
        <v>31</v>
      </c>
    </row>
    <row r="8">
      <c r="A8" s="35" t="s">
        <v>33</v>
      </c>
      <c r="B8" s="34" t="s">
        <v>34</v>
      </c>
      <c r="C8" s="36">
        <v>10.0</v>
      </c>
      <c r="D8" s="37">
        <v>5.0</v>
      </c>
      <c r="E8" s="37">
        <v>1.5</v>
      </c>
      <c r="F8" s="37">
        <v>40.0</v>
      </c>
      <c r="G8" s="37">
        <v>1.5</v>
      </c>
      <c r="H8" s="37">
        <v>1.5</v>
      </c>
      <c r="I8" s="36">
        <v>25.0</v>
      </c>
      <c r="J8" s="37" t="s">
        <v>12</v>
      </c>
      <c r="K8" s="37"/>
      <c r="L8" s="37" t="s">
        <v>37</v>
      </c>
      <c r="M8" s="37">
        <f>60+30+60+23</f>
        <v>173</v>
      </c>
      <c r="N8" s="37">
        <v>50.0</v>
      </c>
    </row>
    <row r="9">
      <c r="A9" s="35" t="s">
        <v>33</v>
      </c>
      <c r="B9" s="38" t="s">
        <v>36</v>
      </c>
      <c r="C9" s="39">
        <v>7.0</v>
      </c>
      <c r="D9" s="40">
        <v>2.5</v>
      </c>
      <c r="E9" s="37">
        <v>1.5</v>
      </c>
      <c r="F9" s="40">
        <v>17.0</v>
      </c>
      <c r="G9" s="40">
        <v>1.5</v>
      </c>
      <c r="H9" s="40">
        <v>1.5</v>
      </c>
      <c r="I9" s="39">
        <v>0.0</v>
      </c>
      <c r="J9" s="37" t="s">
        <v>12</v>
      </c>
      <c r="K9" s="46"/>
      <c r="L9" s="46"/>
      <c r="M9" s="40">
        <v>32.0</v>
      </c>
      <c r="N9" s="40">
        <v>51.0</v>
      </c>
    </row>
    <row r="10">
      <c r="A10" s="35" t="s">
        <v>33</v>
      </c>
      <c r="B10" s="34" t="s">
        <v>39</v>
      </c>
      <c r="C10" s="36">
        <v>7.0</v>
      </c>
      <c r="D10" s="37">
        <v>2.5</v>
      </c>
      <c r="E10" s="37">
        <v>1.5</v>
      </c>
      <c r="F10" s="37">
        <v>30.0</v>
      </c>
      <c r="G10" s="37">
        <v>1.5</v>
      </c>
      <c r="H10" s="37">
        <v>1.5</v>
      </c>
      <c r="I10" s="36">
        <v>4.0</v>
      </c>
      <c r="J10" s="37" t="s">
        <v>12</v>
      </c>
      <c r="K10" s="45"/>
      <c r="L10" s="45"/>
      <c r="M10" s="37">
        <v>49.0</v>
      </c>
      <c r="N10" s="37">
        <v>51.0</v>
      </c>
    </row>
    <row r="11">
      <c r="A11" s="35" t="s">
        <v>33</v>
      </c>
      <c r="B11" s="38" t="s">
        <v>41</v>
      </c>
      <c r="C11" s="39">
        <v>10.0</v>
      </c>
      <c r="D11" s="40">
        <v>5.0</v>
      </c>
      <c r="E11" s="37">
        <v>1.5</v>
      </c>
      <c r="F11" s="40">
        <v>40.0</v>
      </c>
      <c r="G11" s="40">
        <v>1.5</v>
      </c>
      <c r="H11" s="40">
        <v>1.5</v>
      </c>
      <c r="I11" s="39">
        <v>0.0</v>
      </c>
      <c r="J11" s="37" t="s">
        <v>12</v>
      </c>
      <c r="K11" s="46"/>
      <c r="L11" s="46"/>
      <c r="M11" s="40">
        <f>56+45+53</f>
        <v>154</v>
      </c>
      <c r="N11" s="40">
        <v>51.0</v>
      </c>
    </row>
    <row r="12">
      <c r="A12" s="35" t="s">
        <v>33</v>
      </c>
      <c r="B12" s="34" t="s">
        <v>43</v>
      </c>
      <c r="C12" s="36">
        <v>10.0</v>
      </c>
      <c r="D12" s="37">
        <v>5.0</v>
      </c>
      <c r="E12" s="37">
        <v>1.5</v>
      </c>
      <c r="F12" s="37">
        <v>40.0</v>
      </c>
      <c r="G12" s="37">
        <v>1.5</v>
      </c>
      <c r="H12" s="37">
        <v>1.5</v>
      </c>
      <c r="I12" s="36">
        <v>25.0</v>
      </c>
      <c r="J12" s="37" t="s">
        <v>12</v>
      </c>
      <c r="K12" s="45"/>
      <c r="L12" s="45"/>
      <c r="M12" s="37">
        <f>60+57</f>
        <v>117</v>
      </c>
      <c r="N12" s="37">
        <v>50.0</v>
      </c>
    </row>
    <row r="13">
      <c r="A13" s="35" t="s">
        <v>33</v>
      </c>
      <c r="B13" s="38" t="s">
        <v>44</v>
      </c>
      <c r="C13" s="39">
        <v>7.0</v>
      </c>
      <c r="D13" s="40" t="s">
        <v>12</v>
      </c>
      <c r="E13" s="37">
        <v>1.5</v>
      </c>
      <c r="F13" s="40" t="s">
        <v>12</v>
      </c>
      <c r="G13" s="40" t="s">
        <v>12</v>
      </c>
      <c r="H13" s="40" t="s">
        <v>12</v>
      </c>
      <c r="I13" s="39">
        <v>9.0</v>
      </c>
      <c r="J13" s="37" t="s">
        <v>12</v>
      </c>
      <c r="K13" s="46"/>
      <c r="L13" s="46"/>
      <c r="M13" s="40">
        <v>18.0</v>
      </c>
      <c r="N13" s="40">
        <v>48.0</v>
      </c>
    </row>
    <row r="14">
      <c r="A14" s="35" t="s">
        <v>33</v>
      </c>
      <c r="B14" s="34" t="s">
        <v>46</v>
      </c>
      <c r="C14" s="36">
        <v>10.0</v>
      </c>
      <c r="D14" s="40" t="s">
        <v>12</v>
      </c>
      <c r="E14" s="37">
        <v>1.5</v>
      </c>
      <c r="F14" s="40" t="s">
        <v>12</v>
      </c>
      <c r="G14" s="40" t="s">
        <v>12</v>
      </c>
      <c r="H14" s="40" t="s">
        <v>12</v>
      </c>
      <c r="I14" s="36">
        <v>25.0</v>
      </c>
      <c r="J14" s="37" t="s">
        <v>12</v>
      </c>
      <c r="K14" s="45"/>
      <c r="L14" s="45"/>
      <c r="M14" s="37">
        <f>62+60+59+3</f>
        <v>184</v>
      </c>
      <c r="N14" s="37">
        <v>50.0</v>
      </c>
    </row>
    <row r="15">
      <c r="A15" s="35" t="s">
        <v>33</v>
      </c>
      <c r="B15" s="38" t="s">
        <v>47</v>
      </c>
      <c r="C15" s="39">
        <v>7.0</v>
      </c>
      <c r="D15" s="40" t="s">
        <v>12</v>
      </c>
      <c r="E15" s="37">
        <v>1.5</v>
      </c>
      <c r="F15" s="40" t="s">
        <v>12</v>
      </c>
      <c r="G15" s="40" t="s">
        <v>12</v>
      </c>
      <c r="H15" s="40" t="s">
        <v>12</v>
      </c>
      <c r="I15" s="39">
        <v>19.0</v>
      </c>
      <c r="J15" s="37" t="s">
        <v>12</v>
      </c>
      <c r="K15" s="46"/>
      <c r="L15" s="46"/>
      <c r="M15" s="40">
        <v>28.0</v>
      </c>
      <c r="N15" s="40">
        <v>50.0</v>
      </c>
    </row>
    <row r="16">
      <c r="A16" s="35" t="s">
        <v>33</v>
      </c>
      <c r="B16" s="34" t="s">
        <v>48</v>
      </c>
      <c r="C16" s="36">
        <v>7.0</v>
      </c>
      <c r="D16" s="40" t="s">
        <v>12</v>
      </c>
      <c r="E16" s="37">
        <v>1.5</v>
      </c>
      <c r="F16" s="40" t="s">
        <v>12</v>
      </c>
      <c r="G16" s="40" t="s">
        <v>12</v>
      </c>
      <c r="H16" s="40" t="s">
        <v>12</v>
      </c>
      <c r="I16" s="36">
        <v>6.0</v>
      </c>
      <c r="J16" s="37" t="s">
        <v>12</v>
      </c>
      <c r="K16" s="45"/>
      <c r="L16" s="45"/>
      <c r="M16" s="37">
        <v>15.0</v>
      </c>
      <c r="N16" s="37">
        <v>50.0</v>
      </c>
    </row>
    <row r="17">
      <c r="A17" s="35" t="s">
        <v>33</v>
      </c>
      <c r="B17" s="38" t="s">
        <v>50</v>
      </c>
      <c r="C17" s="39">
        <v>10.0</v>
      </c>
      <c r="D17" s="40" t="s">
        <v>12</v>
      </c>
      <c r="E17" s="37">
        <v>1.5</v>
      </c>
      <c r="F17" s="40" t="s">
        <v>12</v>
      </c>
      <c r="G17" s="40" t="s">
        <v>12</v>
      </c>
      <c r="H17" s="40" t="s">
        <v>12</v>
      </c>
      <c r="I17" s="39">
        <v>25.0</v>
      </c>
      <c r="J17" s="37" t="s">
        <v>12</v>
      </c>
      <c r="K17" s="46"/>
      <c r="L17" s="46"/>
      <c r="M17" s="40">
        <f>25+35+47</f>
        <v>107</v>
      </c>
      <c r="N17" s="40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11">
        <v>44735.0</v>
      </c>
      <c r="C3" s="4" t="s">
        <v>3</v>
      </c>
      <c r="D3" s="6">
        <v>0.4013888888888889</v>
      </c>
      <c r="E3" s="4" t="s">
        <v>5</v>
      </c>
      <c r="F3" s="7" t="s">
        <v>12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7" t="s">
        <v>15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8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30" t="s">
        <v>9</v>
      </c>
      <c r="B6" s="12" t="s">
        <v>10</v>
      </c>
      <c r="C6" s="13" t="s">
        <v>11</v>
      </c>
      <c r="D6" s="14"/>
      <c r="E6" s="15" t="s">
        <v>13</v>
      </c>
      <c r="F6" s="16" t="s">
        <v>14</v>
      </c>
      <c r="G6" s="17" t="s">
        <v>16</v>
      </c>
      <c r="H6" s="14"/>
      <c r="I6" s="18" t="s">
        <v>17</v>
      </c>
      <c r="J6" s="14"/>
      <c r="K6" s="19"/>
      <c r="L6" s="20" t="s">
        <v>18</v>
      </c>
      <c r="M6" s="21"/>
      <c r="N6" s="14"/>
    </row>
    <row r="7">
      <c r="A7" s="23"/>
      <c r="B7" s="23"/>
      <c r="C7" s="24" t="s">
        <v>19</v>
      </c>
      <c r="D7" s="24" t="s">
        <v>20</v>
      </c>
      <c r="E7" s="25" t="s">
        <v>21</v>
      </c>
      <c r="F7" s="26" t="s">
        <v>22</v>
      </c>
      <c r="G7" s="27" t="s">
        <v>23</v>
      </c>
      <c r="H7" s="27" t="s">
        <v>24</v>
      </c>
      <c r="I7" s="28" t="s">
        <v>25</v>
      </c>
      <c r="J7" s="28" t="s">
        <v>26</v>
      </c>
      <c r="K7" s="29" t="s">
        <v>27</v>
      </c>
      <c r="L7" s="31" t="s">
        <v>28</v>
      </c>
      <c r="M7" s="41" t="s">
        <v>30</v>
      </c>
      <c r="N7" s="31" t="s">
        <v>31</v>
      </c>
    </row>
    <row r="8">
      <c r="A8" s="42" t="s">
        <v>40</v>
      </c>
      <c r="B8" s="43" t="s">
        <v>34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/>
      <c r="L8" s="44" t="s">
        <v>12</v>
      </c>
      <c r="M8" s="47" t="s">
        <v>42</v>
      </c>
      <c r="N8" s="44">
        <v>46.0</v>
      </c>
    </row>
    <row r="9">
      <c r="A9" s="42" t="s">
        <v>40</v>
      </c>
      <c r="B9" s="48" t="s">
        <v>36</v>
      </c>
      <c r="C9" s="49">
        <v>7.5</v>
      </c>
      <c r="D9" s="47">
        <v>3.0</v>
      </c>
      <c r="E9" s="50">
        <v>1.5</v>
      </c>
      <c r="F9" s="47" t="s">
        <v>12</v>
      </c>
      <c r="G9" s="47">
        <v>1.5</v>
      </c>
      <c r="H9" s="47">
        <v>1.5</v>
      </c>
      <c r="I9" s="49" t="s">
        <v>12</v>
      </c>
      <c r="J9" s="47" t="s">
        <v>12</v>
      </c>
      <c r="K9" s="47"/>
      <c r="L9" s="47" t="s">
        <v>12</v>
      </c>
      <c r="M9" s="47">
        <v>20.0</v>
      </c>
      <c r="N9" s="47">
        <v>49.0</v>
      </c>
    </row>
    <row r="10">
      <c r="A10" s="42" t="s">
        <v>40</v>
      </c>
      <c r="B10" s="43" t="s">
        <v>39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/>
      <c r="L10" s="44" t="s">
        <v>45</v>
      </c>
      <c r="M10" s="50" t="s">
        <v>12</v>
      </c>
      <c r="N10" s="50">
        <v>49.0</v>
      </c>
    </row>
    <row r="11">
      <c r="A11" s="42" t="s">
        <v>40</v>
      </c>
      <c r="B11" s="48" t="s">
        <v>41</v>
      </c>
      <c r="C11" s="49" t="s">
        <v>12</v>
      </c>
      <c r="D11" s="49" t="s">
        <v>12</v>
      </c>
      <c r="E11" s="49" t="s">
        <v>12</v>
      </c>
      <c r="F11" s="49" t="s">
        <v>12</v>
      </c>
      <c r="G11" s="49" t="s">
        <v>12</v>
      </c>
      <c r="H11" s="49" t="s">
        <v>12</v>
      </c>
      <c r="I11" s="49" t="s">
        <v>12</v>
      </c>
      <c r="J11" s="49" t="s">
        <v>12</v>
      </c>
      <c r="K11" s="49"/>
      <c r="L11" s="49" t="s">
        <v>12</v>
      </c>
      <c r="M11" s="47" t="s">
        <v>42</v>
      </c>
      <c r="N11" s="47">
        <v>47.0</v>
      </c>
    </row>
    <row r="12">
      <c r="A12" s="42" t="s">
        <v>40</v>
      </c>
      <c r="B12" s="43" t="s">
        <v>43</v>
      </c>
      <c r="C12" s="44">
        <v>7.5</v>
      </c>
      <c r="D12" s="50">
        <v>3.5</v>
      </c>
      <c r="E12" s="50">
        <v>1.5</v>
      </c>
      <c r="F12" s="50">
        <v>30.0</v>
      </c>
      <c r="G12" s="50">
        <v>1.5</v>
      </c>
      <c r="H12" s="50">
        <v>1.5</v>
      </c>
      <c r="I12" s="44" t="s">
        <v>12</v>
      </c>
      <c r="J12" s="50" t="s">
        <v>12</v>
      </c>
      <c r="K12" s="50"/>
      <c r="L12" s="50" t="s">
        <v>12</v>
      </c>
      <c r="M12" s="50">
        <v>45.0</v>
      </c>
      <c r="N12" s="50">
        <v>46.0</v>
      </c>
    </row>
    <row r="13">
      <c r="A13" s="42" t="s">
        <v>40</v>
      </c>
      <c r="B13" s="48" t="s">
        <v>44</v>
      </c>
      <c r="C13" s="49">
        <v>8.0</v>
      </c>
      <c r="D13" s="47" t="s">
        <v>12</v>
      </c>
      <c r="E13" s="50">
        <v>1.5</v>
      </c>
      <c r="F13" s="47" t="s">
        <v>12</v>
      </c>
      <c r="G13" s="47" t="s">
        <v>12</v>
      </c>
      <c r="H13" s="47" t="s">
        <v>12</v>
      </c>
      <c r="I13" s="49">
        <v>18.0</v>
      </c>
      <c r="J13" s="47" t="s">
        <v>12</v>
      </c>
      <c r="K13" s="47"/>
      <c r="L13" s="47" t="s">
        <v>49</v>
      </c>
      <c r="M13" s="47">
        <v>30.0</v>
      </c>
      <c r="N13" s="47">
        <v>49.0</v>
      </c>
    </row>
    <row r="14">
      <c r="A14" s="42" t="s">
        <v>40</v>
      </c>
      <c r="B14" s="43" t="s">
        <v>46</v>
      </c>
      <c r="C14" s="44" t="s">
        <v>12</v>
      </c>
      <c r="D14" s="44" t="s">
        <v>12</v>
      </c>
      <c r="E14" s="44">
        <v>1.5</v>
      </c>
      <c r="F14" s="44" t="s">
        <v>12</v>
      </c>
      <c r="G14" s="44" t="s">
        <v>12</v>
      </c>
      <c r="H14" s="44" t="s">
        <v>12</v>
      </c>
      <c r="I14" s="44">
        <v>2.0</v>
      </c>
      <c r="J14" s="50" t="s">
        <v>12</v>
      </c>
      <c r="K14" s="50"/>
      <c r="L14" s="50" t="s">
        <v>12</v>
      </c>
      <c r="M14" s="50">
        <v>4.0</v>
      </c>
      <c r="N14" s="50">
        <v>46.0</v>
      </c>
    </row>
    <row r="15">
      <c r="A15" s="42" t="s">
        <v>40</v>
      </c>
      <c r="B15" s="48" t="s">
        <v>47</v>
      </c>
      <c r="C15" s="49" t="s">
        <v>12</v>
      </c>
      <c r="D15" s="47" t="s">
        <v>12</v>
      </c>
      <c r="E15" s="50" t="s">
        <v>12</v>
      </c>
      <c r="F15" s="47" t="s">
        <v>12</v>
      </c>
      <c r="G15" s="47" t="s">
        <v>12</v>
      </c>
      <c r="H15" s="47" t="s">
        <v>12</v>
      </c>
      <c r="I15" s="49" t="s">
        <v>12</v>
      </c>
      <c r="J15" s="47" t="s">
        <v>12</v>
      </c>
      <c r="K15" s="47"/>
      <c r="L15" s="47" t="s">
        <v>51</v>
      </c>
      <c r="M15" s="47" t="s">
        <v>12</v>
      </c>
      <c r="N15" s="47">
        <v>47.0</v>
      </c>
    </row>
    <row r="16">
      <c r="A16" s="42" t="s">
        <v>40</v>
      </c>
      <c r="B16" s="43" t="s">
        <v>48</v>
      </c>
      <c r="C16" s="44" t="s">
        <v>12</v>
      </c>
      <c r="D16" s="50" t="s">
        <v>12</v>
      </c>
      <c r="E16" s="50" t="s">
        <v>12</v>
      </c>
      <c r="F16" s="47" t="s">
        <v>12</v>
      </c>
      <c r="G16" s="47" t="s">
        <v>12</v>
      </c>
      <c r="H16" s="47" t="s">
        <v>12</v>
      </c>
      <c r="I16" s="44" t="s">
        <v>12</v>
      </c>
      <c r="J16" s="50" t="s">
        <v>12</v>
      </c>
      <c r="K16" s="50"/>
      <c r="L16" s="50" t="s">
        <v>12</v>
      </c>
      <c r="M16" s="50" t="s">
        <v>52</v>
      </c>
      <c r="N16" s="50">
        <v>48.0</v>
      </c>
    </row>
    <row r="17">
      <c r="A17" s="42" t="s">
        <v>40</v>
      </c>
      <c r="B17" s="48" t="s">
        <v>50</v>
      </c>
      <c r="C17" s="49">
        <v>7.0</v>
      </c>
      <c r="D17" s="47" t="s">
        <v>12</v>
      </c>
      <c r="E17" s="50">
        <v>1.5</v>
      </c>
      <c r="F17" s="47" t="s">
        <v>12</v>
      </c>
      <c r="G17" s="47" t="s">
        <v>12</v>
      </c>
      <c r="H17" s="47" t="s">
        <v>12</v>
      </c>
      <c r="I17" s="53">
        <v>15.0</v>
      </c>
      <c r="J17" s="47" t="s">
        <v>12</v>
      </c>
      <c r="K17" s="47"/>
      <c r="L17" s="47" t="s">
        <v>12</v>
      </c>
      <c r="M17" s="47">
        <v>25.0</v>
      </c>
      <c r="N17" s="47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