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FRESHWATER" sheetId="2" r:id="rId6"/>
    <sheet state="visible" name="SEAWATER" sheetId="3" r:id="rId7"/>
  </sheets>
  <definedNames/>
  <calcPr/>
</workbook>
</file>

<file path=xl/sharedStrings.xml><?xml version="1.0" encoding="utf-8"?>
<sst xmlns="http://schemas.openxmlformats.org/spreadsheetml/2006/main" count="343" uniqueCount="47">
  <si>
    <t>Project: TEMPEST</t>
  </si>
  <si>
    <t>Event: June 2022 Pulse Event</t>
  </si>
  <si>
    <t>Date:</t>
  </si>
  <si>
    <t>Start:</t>
  </si>
  <si>
    <t>End:</t>
  </si>
  <si>
    <t>Personnel:</t>
  </si>
  <si>
    <t>AES</t>
  </si>
  <si>
    <t>Depth: 15cm</t>
  </si>
  <si>
    <t>NA</t>
  </si>
  <si>
    <t>Plot</t>
  </si>
  <si>
    <t>EP</t>
  </si>
  <si>
    <t>Grid Square</t>
  </si>
  <si>
    <t>15mL Falcon Tube</t>
  </si>
  <si>
    <t>2mL Glass Vial</t>
  </si>
  <si>
    <t>40mL Amber Vials</t>
  </si>
  <si>
    <t>2mL Plastic Orange Cap Vial</t>
  </si>
  <si>
    <t>250mL Nalgene for Pooling &amp; Subsampling</t>
  </si>
  <si>
    <t xml:space="preserve">Prep for next sampling and Notes </t>
  </si>
  <si>
    <t>DOC (min 7ml; max 10)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</si>
  <si>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</si>
  <si>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</si>
  <si>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</si>
  <si>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</si>
  <si>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</si>
  <si>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</si>
  <si>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</si>
  <si>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</si>
  <si>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</si>
  <si>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MKB</t>
  </si>
  <si>
    <t>Total volume</t>
  </si>
  <si>
    <t>Total Vol</t>
  </si>
  <si>
    <t>Evacuated (cb)</t>
  </si>
  <si>
    <t>FRESHWATER</t>
  </si>
  <si>
    <t xml:space="preserve">CONTROL </t>
  </si>
  <si>
    <t>C3</t>
  </si>
  <si>
    <t>—</t>
  </si>
  <si>
    <t>C6</t>
  </si>
  <si>
    <t>F4</t>
  </si>
  <si>
    <t>Total Volume</t>
  </si>
  <si>
    <t>H3</t>
  </si>
  <si>
    <t>SEAWATER</t>
  </si>
  <si>
    <t>H6</t>
  </si>
  <si>
    <t>B4</t>
  </si>
  <si>
    <t>D5</t>
  </si>
  <si>
    <t>E3</t>
  </si>
  <si>
    <t>F6</t>
  </si>
  <si>
    <t>I5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</si>
</sst>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h&quot;:&quot;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00DA63"/>
        <bgColor rgb="FF00DA63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rgb="FFF2F2F2"/>
        <bgColor rgb="FFF2F2F2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20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0" fillId="0" fontId="2" numFmtId="166" xfId="0" applyAlignment="1" applyFont="1" applyNumberFormat="1">
      <alignment readingOrder="0" vertical="bottom"/>
    </xf>
    <xf borderId="1" fillId="0" fontId="3" numFmtId="0" xfId="0" applyBorder="1" applyFont="1"/>
    <xf borderId="2" fillId="2" fontId="1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3" fontId="1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1" fillId="4" fontId="1" numFmtId="0" xfId="0" applyAlignment="1" applyBorder="1" applyFill="1" applyFont="1">
      <alignment shrinkToFit="0" wrapText="1"/>
    </xf>
    <xf borderId="2" fillId="5" fontId="1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wrapText="1"/>
    </xf>
    <xf borderId="3" fillId="7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5" fillId="0" fontId="4" numFmtId="0" xfId="0" applyBorder="1" applyFont="1"/>
    <xf borderId="6" fillId="0" fontId="4" numFmtId="0" xfId="0" applyBorder="1" applyFont="1"/>
    <xf borderId="1" fillId="3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1" fillId="6" fontId="2" numFmtId="0" xfId="0" applyAlignment="1" applyBorder="1" applyFill="1" applyFont="1">
      <alignment horizontal="center" shrinkToFit="0" wrapText="1"/>
    </xf>
    <xf borderId="1" fillId="7" fontId="2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2" fillId="9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9" fontId="2" numFmtId="0" xfId="0" applyAlignment="1" applyBorder="1" applyFill="1" applyFont="1">
      <alignment horizontal="center" readingOrder="0"/>
    </xf>
    <xf borderId="1" fillId="8" fontId="2" numFmtId="20" xfId="0" applyAlignment="1" applyBorder="1" applyFill="1" applyFont="1" applyNumberFormat="1">
      <alignment horizontal="center" readingOrder="0" vertical="bottom"/>
    </xf>
    <xf borderId="1" fillId="10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Font="1"/>
    <xf borderId="1" fillId="0" fontId="2" numFmtId="20" xfId="0" applyAlignment="1" applyBorder="1" applyFont="1" applyNumberFormat="1">
      <alignment horizontal="center" readingOrder="0" vertical="bottom"/>
    </xf>
    <xf borderId="1" fillId="10" fontId="2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2" pivot="0" name="FRESHWATER-style">
      <tableStyleElement dxfId="1" type="firstRowStripe"/>
      <tableStyleElement dxfId="2" type="secondRowStripe"/>
    </tableStyle>
    <tableStyle count="2" pivot="0" name="CONTROL-style">
      <tableStyleElement dxfId="1" type="firstRowStripe"/>
      <tableStyleElement dxfId="2" type="secondRowStripe"/>
    </tableStyle>
    <tableStyle count="2" pivot="0" name="SEAWAT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8:N17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ROL-style" showColumnStripes="0" showFirstColumn="1" showLastColumn="1" showRowStripes="1"/>
</table>
</file>

<file path=xl/tables/table2.xml><?xml version="1.0" encoding="utf-8"?>
<table xmlns="http://schemas.openxmlformats.org/spreadsheetml/2006/main" headerRowCount="0" ref="D8:N17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RESHWATER-style" showColumnStripes="0" showFirstColumn="1" showLastColumn="1" showRowStripes="1"/>
</table>
</file>

<file path=xl/tables/table3.xml><?xml version="1.0" encoding="utf-8"?>
<table xmlns="http://schemas.openxmlformats.org/spreadsheetml/2006/main" headerRowCount="0" ref="C8:N17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EAWA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4" t="s">
        <v>2</v>
      </c>
      <c r="B3" s="8">
        <v>44736.0</v>
      </c>
      <c r="C3" s="4" t="s">
        <v>3</v>
      </c>
      <c r="D3" s="10">
        <v>0.5</v>
      </c>
      <c r="E3" s="4" t="s">
        <v>4</v>
      </c>
      <c r="F3" s="7" t="s">
        <v>8</v>
      </c>
      <c r="G3" s="2"/>
      <c r="H3" s="2"/>
      <c r="I3" s="2"/>
      <c r="J3" s="2"/>
      <c r="K3" s="2"/>
      <c r="L3" s="2"/>
      <c r="M3" s="2"/>
      <c r="N3" s="2"/>
    </row>
    <row r="4">
      <c r="A4" s="4" t="s">
        <v>5</v>
      </c>
      <c r="B4" s="7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9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17" t="s">
        <v>9</v>
      </c>
      <c r="B6" s="13" t="s">
        <v>11</v>
      </c>
      <c r="C6" s="14" t="s">
        <v>12</v>
      </c>
      <c r="D6" s="15"/>
      <c r="E6" s="16" t="s">
        <v>13</v>
      </c>
      <c r="F6" s="18" t="s">
        <v>14</v>
      </c>
      <c r="G6" s="19" t="s">
        <v>15</v>
      </c>
      <c r="H6" s="15"/>
      <c r="I6" s="20" t="s">
        <v>16</v>
      </c>
      <c r="J6" s="15"/>
      <c r="K6" s="21"/>
      <c r="L6" s="22" t="s">
        <v>17</v>
      </c>
      <c r="M6" s="23"/>
      <c r="N6" s="15"/>
    </row>
    <row r="7">
      <c r="A7" s="24"/>
      <c r="B7" s="24"/>
      <c r="C7" s="25" t="s">
        <v>18</v>
      </c>
      <c r="D7" s="25" t="s">
        <v>19</v>
      </c>
      <c r="E7" s="26" t="s">
        <v>20</v>
      </c>
      <c r="F7" s="27" t="s">
        <v>21</v>
      </c>
      <c r="G7" s="28" t="s">
        <v>22</v>
      </c>
      <c r="H7" s="28" t="s">
        <v>23</v>
      </c>
      <c r="I7" s="29" t="s">
        <v>24</v>
      </c>
      <c r="J7" s="29" t="s">
        <v>25</v>
      </c>
      <c r="K7" s="30" t="s">
        <v>26</v>
      </c>
      <c r="L7" s="31" t="s">
        <v>27</v>
      </c>
      <c r="M7" s="30" t="s">
        <v>29</v>
      </c>
      <c r="N7" s="31" t="s">
        <v>31</v>
      </c>
    </row>
    <row r="8">
      <c r="A8" s="33" t="s">
        <v>33</v>
      </c>
      <c r="B8" s="34" t="s">
        <v>34</v>
      </c>
      <c r="C8" s="37" t="s">
        <v>35</v>
      </c>
      <c r="D8" s="36" t="s">
        <v>35</v>
      </c>
      <c r="E8" s="36" t="s">
        <v>35</v>
      </c>
      <c r="F8" s="36" t="s">
        <v>35</v>
      </c>
      <c r="G8" s="36" t="s">
        <v>35</v>
      </c>
      <c r="H8" s="36" t="s">
        <v>35</v>
      </c>
      <c r="I8" s="37" t="s">
        <v>35</v>
      </c>
      <c r="J8" s="36" t="s">
        <v>35</v>
      </c>
      <c r="K8" s="41"/>
      <c r="L8" s="41" t="s">
        <v>35</v>
      </c>
      <c r="M8" s="36">
        <v>0.0</v>
      </c>
      <c r="N8" s="36" t="s">
        <v>35</v>
      </c>
    </row>
    <row r="9">
      <c r="A9" s="33" t="s">
        <v>33</v>
      </c>
      <c r="B9" s="38" t="s">
        <v>36</v>
      </c>
      <c r="C9" s="42" t="s">
        <v>35</v>
      </c>
      <c r="D9" s="43" t="s">
        <v>35</v>
      </c>
      <c r="E9" s="43" t="s">
        <v>35</v>
      </c>
      <c r="F9" s="43" t="s">
        <v>35</v>
      </c>
      <c r="G9" s="43" t="s">
        <v>35</v>
      </c>
      <c r="H9" s="43" t="s">
        <v>35</v>
      </c>
      <c r="I9" s="42" t="s">
        <v>35</v>
      </c>
      <c r="J9" s="43" t="s">
        <v>35</v>
      </c>
      <c r="K9" s="41"/>
      <c r="L9" s="41" t="s">
        <v>35</v>
      </c>
      <c r="M9" s="43">
        <v>0.0</v>
      </c>
      <c r="N9" s="43" t="s">
        <v>35</v>
      </c>
    </row>
    <row r="10">
      <c r="A10" s="33" t="s">
        <v>33</v>
      </c>
      <c r="B10" s="34" t="s">
        <v>37</v>
      </c>
      <c r="C10" s="37" t="s">
        <v>35</v>
      </c>
      <c r="D10" s="36" t="s">
        <v>35</v>
      </c>
      <c r="E10" s="36" t="s">
        <v>35</v>
      </c>
      <c r="F10" s="36" t="s">
        <v>35</v>
      </c>
      <c r="G10" s="36" t="s">
        <v>35</v>
      </c>
      <c r="H10" s="36" t="s">
        <v>35</v>
      </c>
      <c r="I10" s="37" t="s">
        <v>35</v>
      </c>
      <c r="J10" s="36" t="s">
        <v>35</v>
      </c>
      <c r="K10" s="41"/>
      <c r="L10" s="41" t="s">
        <v>35</v>
      </c>
      <c r="M10" s="36" t="s">
        <v>8</v>
      </c>
      <c r="N10" s="36" t="s">
        <v>35</v>
      </c>
    </row>
    <row r="11">
      <c r="A11" s="33" t="s">
        <v>33</v>
      </c>
      <c r="B11" s="38" t="s">
        <v>39</v>
      </c>
      <c r="C11" s="42">
        <v>10.0</v>
      </c>
      <c r="D11" s="43" t="s">
        <v>35</v>
      </c>
      <c r="E11" s="43">
        <v>1.5</v>
      </c>
      <c r="F11" s="43" t="s">
        <v>35</v>
      </c>
      <c r="G11" s="43" t="s">
        <v>35</v>
      </c>
      <c r="H11" s="43" t="s">
        <v>35</v>
      </c>
      <c r="I11" s="42">
        <v>12.5</v>
      </c>
      <c r="J11" s="43" t="s">
        <v>35</v>
      </c>
      <c r="K11" s="41"/>
      <c r="L11" s="41" t="s">
        <v>35</v>
      </c>
      <c r="M11" s="43">
        <v>24.0</v>
      </c>
      <c r="N11" s="43">
        <v>50.0</v>
      </c>
    </row>
    <row r="12">
      <c r="A12" s="33" t="s">
        <v>33</v>
      </c>
      <c r="B12" s="34" t="s">
        <v>41</v>
      </c>
      <c r="C12" s="37">
        <v>10.0</v>
      </c>
      <c r="D12" s="36" t="s">
        <v>35</v>
      </c>
      <c r="E12" s="36">
        <v>1.5</v>
      </c>
      <c r="F12" s="36" t="s">
        <v>35</v>
      </c>
      <c r="G12" s="36" t="s">
        <v>35</v>
      </c>
      <c r="H12" s="36" t="s">
        <v>35</v>
      </c>
      <c r="I12" s="37">
        <v>25.0</v>
      </c>
      <c r="J12" s="36" t="s">
        <v>35</v>
      </c>
      <c r="K12" s="41"/>
      <c r="L12" s="41" t="s">
        <v>35</v>
      </c>
      <c r="M12" s="36">
        <v>40.0</v>
      </c>
      <c r="N12" s="36">
        <v>50.0</v>
      </c>
    </row>
    <row r="13">
      <c r="A13" s="33" t="s">
        <v>33</v>
      </c>
      <c r="B13" s="38" t="s">
        <v>42</v>
      </c>
      <c r="C13" s="42" t="s">
        <v>35</v>
      </c>
      <c r="D13" s="43" t="s">
        <v>35</v>
      </c>
      <c r="E13" s="43" t="s">
        <v>35</v>
      </c>
      <c r="F13" s="43" t="s">
        <v>35</v>
      </c>
      <c r="G13" s="43" t="s">
        <v>35</v>
      </c>
      <c r="H13" s="43" t="s">
        <v>35</v>
      </c>
      <c r="I13" s="42" t="s">
        <v>35</v>
      </c>
      <c r="J13" s="43" t="s">
        <v>35</v>
      </c>
      <c r="K13" s="41"/>
      <c r="L13" s="41" t="s">
        <v>35</v>
      </c>
      <c r="M13" s="43">
        <v>0.0</v>
      </c>
      <c r="N13" s="43" t="s">
        <v>35</v>
      </c>
    </row>
    <row r="14">
      <c r="A14" s="33" t="s">
        <v>33</v>
      </c>
      <c r="B14" s="34" t="s">
        <v>43</v>
      </c>
      <c r="C14" s="37">
        <v>10.0</v>
      </c>
      <c r="D14" s="36" t="s">
        <v>35</v>
      </c>
      <c r="E14" s="36">
        <v>1.5</v>
      </c>
      <c r="F14" s="36" t="s">
        <v>35</v>
      </c>
      <c r="G14" s="36" t="s">
        <v>35</v>
      </c>
      <c r="H14" s="36" t="s">
        <v>35</v>
      </c>
      <c r="I14" s="37">
        <v>25.0</v>
      </c>
      <c r="J14" s="36" t="s">
        <v>35</v>
      </c>
      <c r="K14" s="41"/>
      <c r="L14" s="41" t="s">
        <v>35</v>
      </c>
      <c r="M14" s="36">
        <v>42.0</v>
      </c>
      <c r="N14" s="36">
        <v>50.0</v>
      </c>
    </row>
    <row r="15">
      <c r="A15" s="33" t="s">
        <v>33</v>
      </c>
      <c r="B15" s="38" t="s">
        <v>44</v>
      </c>
      <c r="C15" s="42">
        <v>7.0</v>
      </c>
      <c r="D15" s="43" t="s">
        <v>35</v>
      </c>
      <c r="E15" s="43">
        <v>1.5</v>
      </c>
      <c r="F15" s="43" t="s">
        <v>35</v>
      </c>
      <c r="G15" s="43" t="s">
        <v>35</v>
      </c>
      <c r="H15" s="43" t="s">
        <v>35</v>
      </c>
      <c r="I15" s="46">
        <v>1.5</v>
      </c>
      <c r="J15" s="43" t="s">
        <v>35</v>
      </c>
      <c r="K15" s="41"/>
      <c r="L15" s="41" t="s">
        <v>35</v>
      </c>
      <c r="M15" s="47">
        <v>11.0</v>
      </c>
      <c r="N15" s="43" t="s">
        <v>35</v>
      </c>
    </row>
    <row r="16">
      <c r="A16" s="33" t="s">
        <v>33</v>
      </c>
      <c r="B16" s="34" t="s">
        <v>45</v>
      </c>
      <c r="C16" s="37">
        <v>10.0</v>
      </c>
      <c r="D16" s="36" t="s">
        <v>35</v>
      </c>
      <c r="E16" s="36">
        <v>1.5</v>
      </c>
      <c r="F16" s="36" t="s">
        <v>35</v>
      </c>
      <c r="G16" s="36" t="s">
        <v>35</v>
      </c>
      <c r="H16" s="36" t="s">
        <v>35</v>
      </c>
      <c r="I16" s="37">
        <v>17.5</v>
      </c>
      <c r="J16" s="36" t="s">
        <v>35</v>
      </c>
      <c r="K16" s="41"/>
      <c r="L16" s="41" t="s">
        <v>35</v>
      </c>
      <c r="M16" s="36">
        <v>29.0</v>
      </c>
      <c r="N16" s="36">
        <v>50.0</v>
      </c>
    </row>
    <row r="17">
      <c r="A17" s="33" t="s">
        <v>33</v>
      </c>
      <c r="B17" s="38" t="s">
        <v>46</v>
      </c>
      <c r="C17" s="42">
        <v>10.0</v>
      </c>
      <c r="D17" s="43" t="s">
        <v>35</v>
      </c>
      <c r="E17" s="43">
        <v>1.5</v>
      </c>
      <c r="F17" s="43" t="s">
        <v>35</v>
      </c>
      <c r="G17" s="43" t="s">
        <v>35</v>
      </c>
      <c r="H17" s="43" t="s">
        <v>35</v>
      </c>
      <c r="I17" s="42">
        <v>25.0</v>
      </c>
      <c r="J17" s="43" t="s">
        <v>35</v>
      </c>
      <c r="K17" s="41"/>
      <c r="L17" s="41" t="s">
        <v>35</v>
      </c>
      <c r="M17" s="43">
        <v>42.0</v>
      </c>
      <c r="N17" s="43">
        <v>48.0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48"/>
      <c r="K18" s="2"/>
      <c r="L18" s="2"/>
      <c r="M18" s="2"/>
      <c r="N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" t="s">
        <v>2</v>
      </c>
      <c r="B3" s="5">
        <v>44736.0</v>
      </c>
      <c r="C3" s="4" t="s">
        <v>3</v>
      </c>
      <c r="D3" s="6">
        <v>0.5111111111111111</v>
      </c>
      <c r="E3" s="4" t="s">
        <v>4</v>
      </c>
      <c r="F3" s="6">
        <v>0.5666666666666667</v>
      </c>
      <c r="G3" s="2"/>
      <c r="H3" s="2"/>
      <c r="I3" s="2"/>
      <c r="J3" s="2"/>
      <c r="K3" s="2"/>
      <c r="L3" s="2"/>
      <c r="M3" s="2"/>
    </row>
    <row r="4">
      <c r="A4" s="4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9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</row>
    <row r="6">
      <c r="A6" s="12" t="s">
        <v>9</v>
      </c>
      <c r="B6" s="13" t="s">
        <v>11</v>
      </c>
      <c r="C6" s="14" t="s">
        <v>12</v>
      </c>
      <c r="D6" s="15"/>
      <c r="E6" s="16" t="s">
        <v>13</v>
      </c>
      <c r="F6" s="18" t="s">
        <v>14</v>
      </c>
      <c r="G6" s="19" t="s">
        <v>15</v>
      </c>
      <c r="H6" s="15"/>
      <c r="I6" s="20" t="s">
        <v>16</v>
      </c>
      <c r="J6" s="15"/>
      <c r="K6" s="21"/>
      <c r="L6" s="22" t="s">
        <v>17</v>
      </c>
      <c r="M6" s="23"/>
      <c r="N6" s="15"/>
    </row>
    <row r="7">
      <c r="A7" s="24"/>
      <c r="B7" s="24"/>
      <c r="C7" s="25" t="s">
        <v>18</v>
      </c>
      <c r="D7" s="25" t="s">
        <v>19</v>
      </c>
      <c r="E7" s="26" t="s">
        <v>20</v>
      </c>
      <c r="F7" s="27" t="s">
        <v>21</v>
      </c>
      <c r="G7" s="28" t="s">
        <v>22</v>
      </c>
      <c r="H7" s="28" t="s">
        <v>23</v>
      </c>
      <c r="I7" s="29" t="s">
        <v>24</v>
      </c>
      <c r="J7" s="29" t="s">
        <v>25</v>
      </c>
      <c r="K7" s="30" t="s">
        <v>26</v>
      </c>
      <c r="L7" s="31" t="s">
        <v>27</v>
      </c>
      <c r="M7" s="30" t="s">
        <v>30</v>
      </c>
      <c r="N7" s="31" t="s">
        <v>31</v>
      </c>
    </row>
    <row r="8">
      <c r="A8" s="32" t="s">
        <v>32</v>
      </c>
      <c r="B8" s="34" t="s">
        <v>34</v>
      </c>
      <c r="C8" s="35">
        <v>10.0</v>
      </c>
      <c r="D8" s="36" t="s">
        <v>35</v>
      </c>
      <c r="E8" s="36">
        <v>1.5</v>
      </c>
      <c r="F8" s="36" t="s">
        <v>35</v>
      </c>
      <c r="G8" s="36" t="s">
        <v>35</v>
      </c>
      <c r="H8" s="36" t="s">
        <v>35</v>
      </c>
      <c r="I8" s="37">
        <v>25.0</v>
      </c>
      <c r="J8" s="36" t="s">
        <v>35</v>
      </c>
      <c r="K8" s="36"/>
      <c r="L8" s="36" t="s">
        <v>35</v>
      </c>
      <c r="M8" s="36">
        <v>36.5</v>
      </c>
      <c r="N8" s="36" t="s">
        <v>35</v>
      </c>
    </row>
    <row r="9">
      <c r="A9" s="32" t="s">
        <v>32</v>
      </c>
      <c r="B9" s="38" t="s">
        <v>36</v>
      </c>
      <c r="C9" s="40">
        <v>10.0</v>
      </c>
      <c r="D9" s="36" t="s">
        <v>35</v>
      </c>
      <c r="E9" s="43">
        <v>1.5</v>
      </c>
      <c r="F9" s="36" t="s">
        <v>35</v>
      </c>
      <c r="G9" s="36" t="s">
        <v>35</v>
      </c>
      <c r="H9" s="36" t="s">
        <v>35</v>
      </c>
      <c r="I9" s="42">
        <v>16.0</v>
      </c>
      <c r="J9" s="36" t="s">
        <v>35</v>
      </c>
      <c r="K9" s="36"/>
      <c r="L9" s="36" t="s">
        <v>35</v>
      </c>
      <c r="M9" s="43">
        <v>27.5</v>
      </c>
      <c r="N9" s="36" t="s">
        <v>35</v>
      </c>
    </row>
    <row r="10">
      <c r="A10" s="32" t="s">
        <v>32</v>
      </c>
      <c r="B10" s="34" t="s">
        <v>37</v>
      </c>
      <c r="C10" s="35">
        <v>10.0</v>
      </c>
      <c r="D10" s="36" t="s">
        <v>35</v>
      </c>
      <c r="E10" s="36">
        <v>1.5</v>
      </c>
      <c r="F10" s="36" t="s">
        <v>35</v>
      </c>
      <c r="G10" s="36" t="s">
        <v>35</v>
      </c>
      <c r="H10" s="36" t="s">
        <v>35</v>
      </c>
      <c r="I10" s="37">
        <v>25.0</v>
      </c>
      <c r="J10" s="36" t="s">
        <v>35</v>
      </c>
      <c r="K10" s="36"/>
      <c r="L10" s="36" t="s">
        <v>35</v>
      </c>
      <c r="M10" s="36">
        <v>36.5</v>
      </c>
      <c r="N10" s="36" t="s">
        <v>35</v>
      </c>
    </row>
    <row r="11">
      <c r="A11" s="32" t="s">
        <v>32</v>
      </c>
      <c r="B11" s="38" t="s">
        <v>39</v>
      </c>
      <c r="C11" s="40">
        <v>10.0</v>
      </c>
      <c r="D11" s="36" t="s">
        <v>35</v>
      </c>
      <c r="E11" s="43">
        <v>1.5</v>
      </c>
      <c r="F11" s="36" t="s">
        <v>35</v>
      </c>
      <c r="G11" s="36" t="s">
        <v>35</v>
      </c>
      <c r="H11" s="36" t="s">
        <v>35</v>
      </c>
      <c r="I11" s="42">
        <v>25.0</v>
      </c>
      <c r="J11" s="36" t="s">
        <v>35</v>
      </c>
      <c r="K11" s="36"/>
      <c r="L11" s="36" t="s">
        <v>35</v>
      </c>
      <c r="M11" s="36">
        <v>36.5</v>
      </c>
      <c r="N11" s="36" t="s">
        <v>35</v>
      </c>
    </row>
    <row r="12">
      <c r="A12" s="32" t="s">
        <v>32</v>
      </c>
      <c r="B12" s="34" t="s">
        <v>41</v>
      </c>
      <c r="C12" s="35">
        <v>10.0</v>
      </c>
      <c r="D12" s="36" t="s">
        <v>35</v>
      </c>
      <c r="E12" s="36">
        <v>1.5</v>
      </c>
      <c r="F12" s="36" t="s">
        <v>35</v>
      </c>
      <c r="G12" s="36" t="s">
        <v>35</v>
      </c>
      <c r="H12" s="36" t="s">
        <v>35</v>
      </c>
      <c r="I12" s="37">
        <v>25.0</v>
      </c>
      <c r="J12" s="36" t="s">
        <v>35</v>
      </c>
      <c r="K12" s="36"/>
      <c r="L12" s="36" t="s">
        <v>35</v>
      </c>
      <c r="M12" s="36">
        <v>36.5</v>
      </c>
      <c r="N12" s="36" t="s">
        <v>35</v>
      </c>
    </row>
    <row r="13">
      <c r="A13" s="32" t="s">
        <v>32</v>
      </c>
      <c r="B13" s="38" t="s">
        <v>42</v>
      </c>
      <c r="C13" s="40">
        <v>10.0</v>
      </c>
      <c r="D13" s="36" t="s">
        <v>35</v>
      </c>
      <c r="E13" s="43">
        <v>1.5</v>
      </c>
      <c r="F13" s="36" t="s">
        <v>35</v>
      </c>
      <c r="G13" s="36" t="s">
        <v>35</v>
      </c>
      <c r="H13" s="36" t="s">
        <v>35</v>
      </c>
      <c r="I13" s="42">
        <v>25.0</v>
      </c>
      <c r="J13" s="36" t="s">
        <v>35</v>
      </c>
      <c r="K13" s="36"/>
      <c r="L13" s="36" t="s">
        <v>35</v>
      </c>
      <c r="M13" s="36">
        <v>36.5</v>
      </c>
      <c r="N13" s="36" t="s">
        <v>35</v>
      </c>
    </row>
    <row r="14">
      <c r="A14" s="32" t="s">
        <v>32</v>
      </c>
      <c r="B14" s="34" t="s">
        <v>43</v>
      </c>
      <c r="C14" s="35">
        <v>10.0</v>
      </c>
      <c r="D14" s="36" t="s">
        <v>35</v>
      </c>
      <c r="E14" s="36">
        <v>1.5</v>
      </c>
      <c r="F14" s="36" t="s">
        <v>35</v>
      </c>
      <c r="G14" s="36" t="s">
        <v>35</v>
      </c>
      <c r="H14" s="36" t="s">
        <v>35</v>
      </c>
      <c r="I14" s="37">
        <v>25.0</v>
      </c>
      <c r="J14" s="36" t="s">
        <v>35</v>
      </c>
      <c r="K14" s="36"/>
      <c r="L14" s="36" t="s">
        <v>35</v>
      </c>
      <c r="M14" s="36">
        <v>36.5</v>
      </c>
      <c r="N14" s="36" t="s">
        <v>35</v>
      </c>
    </row>
    <row r="15">
      <c r="A15" s="32" t="s">
        <v>32</v>
      </c>
      <c r="B15" s="38" t="s">
        <v>44</v>
      </c>
      <c r="C15" s="40">
        <v>10.0</v>
      </c>
      <c r="D15" s="36" t="s">
        <v>35</v>
      </c>
      <c r="E15" s="43">
        <v>1.5</v>
      </c>
      <c r="F15" s="36" t="s">
        <v>35</v>
      </c>
      <c r="G15" s="36" t="s">
        <v>35</v>
      </c>
      <c r="H15" s="36" t="s">
        <v>35</v>
      </c>
      <c r="I15" s="42">
        <v>25.0</v>
      </c>
      <c r="J15" s="36" t="s">
        <v>35</v>
      </c>
      <c r="K15" s="36"/>
      <c r="L15" s="36" t="s">
        <v>35</v>
      </c>
      <c r="M15" s="36">
        <v>36.5</v>
      </c>
      <c r="N15" s="36" t="s">
        <v>35</v>
      </c>
    </row>
    <row r="16">
      <c r="A16" s="32" t="s">
        <v>32</v>
      </c>
      <c r="B16" s="34" t="s">
        <v>45</v>
      </c>
      <c r="C16" s="35">
        <v>10.0</v>
      </c>
      <c r="D16" s="36" t="s">
        <v>35</v>
      </c>
      <c r="E16" s="36">
        <v>1.5</v>
      </c>
      <c r="F16" s="36" t="s">
        <v>35</v>
      </c>
      <c r="G16" s="36" t="s">
        <v>35</v>
      </c>
      <c r="H16" s="36" t="s">
        <v>35</v>
      </c>
      <c r="I16" s="37">
        <v>25.0</v>
      </c>
      <c r="J16" s="36" t="s">
        <v>35</v>
      </c>
      <c r="K16" s="36"/>
      <c r="L16" s="36" t="s">
        <v>35</v>
      </c>
      <c r="M16" s="36">
        <v>36.5</v>
      </c>
      <c r="N16" s="36" t="s">
        <v>35</v>
      </c>
    </row>
    <row r="17">
      <c r="A17" s="32" t="s">
        <v>32</v>
      </c>
      <c r="B17" s="38" t="s">
        <v>46</v>
      </c>
      <c r="C17" s="40">
        <v>10.0</v>
      </c>
      <c r="D17" s="36" t="s">
        <v>35</v>
      </c>
      <c r="E17" s="43">
        <v>1.5</v>
      </c>
      <c r="F17" s="36" t="s">
        <v>35</v>
      </c>
      <c r="G17" s="36" t="s">
        <v>35</v>
      </c>
      <c r="H17" s="36" t="s">
        <v>35</v>
      </c>
      <c r="I17" s="42">
        <v>25.0</v>
      </c>
      <c r="J17" s="36" t="s">
        <v>35</v>
      </c>
      <c r="K17" s="36"/>
      <c r="L17" s="36" t="s">
        <v>35</v>
      </c>
      <c r="M17" s="36">
        <v>36.5</v>
      </c>
      <c r="N17" s="36" t="s">
        <v>35</v>
      </c>
    </row>
    <row r="18">
      <c r="A18" s="2"/>
      <c r="B18" s="2"/>
      <c r="C18" s="2"/>
      <c r="D18" s="7"/>
      <c r="E18" s="2"/>
      <c r="F18" s="2"/>
      <c r="G18" s="2"/>
      <c r="H18" s="2"/>
      <c r="I18" s="2"/>
      <c r="J18" s="48"/>
      <c r="K18" s="2"/>
      <c r="L18" s="2"/>
      <c r="M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" t="s">
        <v>2</v>
      </c>
      <c r="B3" s="5">
        <v>44736.0</v>
      </c>
      <c r="C3" s="4" t="s">
        <v>3</v>
      </c>
      <c r="D3" s="6">
        <v>0.5104166666666666</v>
      </c>
      <c r="E3" s="4" t="s">
        <v>4</v>
      </c>
      <c r="F3" s="6">
        <v>0.58125</v>
      </c>
      <c r="G3" s="2"/>
      <c r="H3" s="2"/>
      <c r="I3" s="2"/>
      <c r="J3" s="2"/>
      <c r="K3" s="2"/>
      <c r="L3" s="2"/>
      <c r="M3" s="2"/>
    </row>
    <row r="4">
      <c r="A4" s="4" t="s">
        <v>5</v>
      </c>
      <c r="B4" s="7" t="s">
        <v>28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9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</row>
    <row r="6">
      <c r="A6" s="39" t="s">
        <v>9</v>
      </c>
      <c r="B6" s="13" t="s">
        <v>11</v>
      </c>
      <c r="C6" s="14" t="s">
        <v>12</v>
      </c>
      <c r="D6" s="15"/>
      <c r="E6" s="16" t="s">
        <v>13</v>
      </c>
      <c r="F6" s="18" t="s">
        <v>14</v>
      </c>
      <c r="G6" s="19" t="s">
        <v>15</v>
      </c>
      <c r="H6" s="15"/>
      <c r="I6" s="20" t="s">
        <v>16</v>
      </c>
      <c r="J6" s="15"/>
      <c r="K6" s="22" t="s">
        <v>17</v>
      </c>
      <c r="L6" s="23"/>
      <c r="M6" s="23"/>
      <c r="N6" s="15"/>
    </row>
    <row r="7">
      <c r="A7" s="24"/>
      <c r="B7" s="24"/>
      <c r="C7" s="25" t="s">
        <v>18</v>
      </c>
      <c r="D7" s="25" t="s">
        <v>19</v>
      </c>
      <c r="E7" s="26" t="s">
        <v>20</v>
      </c>
      <c r="F7" s="27" t="s">
        <v>21</v>
      </c>
      <c r="G7" s="28" t="s">
        <v>22</v>
      </c>
      <c r="H7" s="28" t="s">
        <v>23</v>
      </c>
      <c r="I7" s="29" t="s">
        <v>24</v>
      </c>
      <c r="J7" s="29" t="s">
        <v>25</v>
      </c>
      <c r="K7" s="30" t="s">
        <v>26</v>
      </c>
      <c r="L7" s="30" t="s">
        <v>27</v>
      </c>
      <c r="M7" s="30" t="s">
        <v>38</v>
      </c>
      <c r="N7" s="31" t="s">
        <v>31</v>
      </c>
    </row>
    <row r="8">
      <c r="A8" s="44" t="s">
        <v>40</v>
      </c>
      <c r="B8" s="34" t="s">
        <v>34</v>
      </c>
      <c r="C8" s="37">
        <v>10.0</v>
      </c>
      <c r="D8" s="36" t="s">
        <v>35</v>
      </c>
      <c r="E8" s="36">
        <v>1.5</v>
      </c>
      <c r="F8" s="36" t="s">
        <v>35</v>
      </c>
      <c r="G8" s="36" t="s">
        <v>35</v>
      </c>
      <c r="H8" s="36" t="s">
        <v>35</v>
      </c>
      <c r="I8" s="37">
        <v>25.0</v>
      </c>
      <c r="J8" s="36" t="s">
        <v>35</v>
      </c>
      <c r="K8" s="45">
        <v>0.5111111111111111</v>
      </c>
      <c r="L8" s="36"/>
      <c r="M8" s="36">
        <f>58+56+23</f>
        <v>137</v>
      </c>
      <c r="N8" s="36">
        <v>50.0</v>
      </c>
    </row>
    <row r="9">
      <c r="A9" s="44" t="s">
        <v>40</v>
      </c>
      <c r="B9" s="38" t="s">
        <v>36</v>
      </c>
      <c r="C9" s="37">
        <v>10.0</v>
      </c>
      <c r="D9" s="36" t="s">
        <v>35</v>
      </c>
      <c r="E9" s="36">
        <v>1.5</v>
      </c>
      <c r="F9" s="36" t="s">
        <v>35</v>
      </c>
      <c r="G9" s="36" t="s">
        <v>35</v>
      </c>
      <c r="H9" s="36" t="s">
        <v>35</v>
      </c>
      <c r="I9" s="37">
        <v>25.0</v>
      </c>
      <c r="J9" s="36" t="s">
        <v>35</v>
      </c>
      <c r="K9" s="49">
        <v>0.51875</v>
      </c>
      <c r="L9" s="43"/>
      <c r="M9" s="43">
        <f>50+52+32</f>
        <v>134</v>
      </c>
      <c r="N9" s="43">
        <v>47.0</v>
      </c>
    </row>
    <row r="10">
      <c r="A10" s="44" t="s">
        <v>40</v>
      </c>
      <c r="B10" s="34" t="s">
        <v>37</v>
      </c>
      <c r="C10" s="37">
        <v>10.0</v>
      </c>
      <c r="D10" s="36" t="s">
        <v>35</v>
      </c>
      <c r="E10" s="36">
        <v>1.5</v>
      </c>
      <c r="F10" s="36" t="s">
        <v>35</v>
      </c>
      <c r="G10" s="36" t="s">
        <v>35</v>
      </c>
      <c r="H10" s="36" t="s">
        <v>35</v>
      </c>
      <c r="I10" s="37">
        <v>25.0</v>
      </c>
      <c r="J10" s="36" t="s">
        <v>35</v>
      </c>
      <c r="K10" s="45">
        <v>0.5277777777777778</v>
      </c>
      <c r="L10" s="36"/>
      <c r="M10" s="36">
        <f>56+19</f>
        <v>75</v>
      </c>
      <c r="N10" s="36">
        <v>47.0</v>
      </c>
    </row>
    <row r="11">
      <c r="A11" s="44" t="s">
        <v>40</v>
      </c>
      <c r="B11" s="38" t="s">
        <v>39</v>
      </c>
      <c r="C11" s="37">
        <v>10.0</v>
      </c>
      <c r="D11" s="36" t="s">
        <v>35</v>
      </c>
      <c r="E11" s="36">
        <v>1.5</v>
      </c>
      <c r="F11" s="36" t="s">
        <v>35</v>
      </c>
      <c r="G11" s="36" t="s">
        <v>35</v>
      </c>
      <c r="H11" s="36" t="s">
        <v>35</v>
      </c>
      <c r="I11" s="37">
        <v>25.0</v>
      </c>
      <c r="J11" s="36" t="s">
        <v>35</v>
      </c>
      <c r="K11" s="49">
        <v>0.5340277777777778</v>
      </c>
      <c r="L11" s="43"/>
      <c r="M11" s="43">
        <f>53+52</f>
        <v>105</v>
      </c>
      <c r="N11" s="43">
        <v>48.0</v>
      </c>
    </row>
    <row r="12">
      <c r="A12" s="44" t="s">
        <v>40</v>
      </c>
      <c r="B12" s="34" t="s">
        <v>41</v>
      </c>
      <c r="C12" s="37">
        <v>10.0</v>
      </c>
      <c r="D12" s="36" t="s">
        <v>35</v>
      </c>
      <c r="E12" s="36">
        <v>1.5</v>
      </c>
      <c r="F12" s="36" t="s">
        <v>35</v>
      </c>
      <c r="G12" s="36" t="s">
        <v>35</v>
      </c>
      <c r="H12" s="36" t="s">
        <v>35</v>
      </c>
      <c r="I12" s="37">
        <v>25.0</v>
      </c>
      <c r="J12" s="36" t="s">
        <v>35</v>
      </c>
      <c r="K12" s="45">
        <v>0.5416666666666666</v>
      </c>
      <c r="L12" s="36"/>
      <c r="M12" s="36">
        <f>59+50+1</f>
        <v>110</v>
      </c>
      <c r="N12" s="36">
        <v>50.0</v>
      </c>
    </row>
    <row r="13">
      <c r="A13" s="44" t="s">
        <v>40</v>
      </c>
      <c r="B13" s="38" t="s">
        <v>42</v>
      </c>
      <c r="C13" s="37">
        <v>10.0</v>
      </c>
      <c r="D13" s="36" t="s">
        <v>35</v>
      </c>
      <c r="E13" s="36">
        <v>1.5</v>
      </c>
      <c r="F13" s="36" t="s">
        <v>35</v>
      </c>
      <c r="G13" s="36" t="s">
        <v>35</v>
      </c>
      <c r="H13" s="36" t="s">
        <v>35</v>
      </c>
      <c r="I13" s="37">
        <v>25.0</v>
      </c>
      <c r="J13" s="36" t="s">
        <v>35</v>
      </c>
      <c r="K13" s="49">
        <v>0.5486111111111112</v>
      </c>
      <c r="L13" s="43"/>
      <c r="M13" s="50">
        <f>53+55+20</f>
        <v>128</v>
      </c>
      <c r="N13" s="43">
        <v>50.0</v>
      </c>
    </row>
    <row r="14">
      <c r="A14" s="44" t="s">
        <v>40</v>
      </c>
      <c r="B14" s="34" t="s">
        <v>43</v>
      </c>
      <c r="C14" s="37">
        <v>10.0</v>
      </c>
      <c r="D14" s="36" t="s">
        <v>35</v>
      </c>
      <c r="E14" s="36">
        <v>1.5</v>
      </c>
      <c r="F14" s="36" t="s">
        <v>35</v>
      </c>
      <c r="G14" s="36" t="s">
        <v>35</v>
      </c>
      <c r="H14" s="36" t="s">
        <v>35</v>
      </c>
      <c r="I14" s="37">
        <v>25.0</v>
      </c>
      <c r="J14" s="36" t="s">
        <v>35</v>
      </c>
      <c r="K14" s="45">
        <v>0.5555555555555556</v>
      </c>
      <c r="L14" s="36"/>
      <c r="M14" s="36">
        <f>55+51</f>
        <v>106</v>
      </c>
      <c r="N14" s="36">
        <v>47.0</v>
      </c>
    </row>
    <row r="15">
      <c r="A15" s="44" t="s">
        <v>40</v>
      </c>
      <c r="B15" s="38" t="s">
        <v>44</v>
      </c>
      <c r="C15" s="37">
        <v>10.0</v>
      </c>
      <c r="D15" s="36" t="s">
        <v>35</v>
      </c>
      <c r="E15" s="36">
        <v>1.5</v>
      </c>
      <c r="F15" s="36" t="s">
        <v>35</v>
      </c>
      <c r="G15" s="36" t="s">
        <v>35</v>
      </c>
      <c r="H15" s="36" t="s">
        <v>35</v>
      </c>
      <c r="I15" s="37">
        <v>25.0</v>
      </c>
      <c r="J15" s="36" t="s">
        <v>35</v>
      </c>
      <c r="K15" s="49">
        <v>0.5625</v>
      </c>
      <c r="L15" s="43"/>
      <c r="M15" s="43">
        <f>56+52+14</f>
        <v>122</v>
      </c>
      <c r="N15" s="43">
        <v>49.0</v>
      </c>
    </row>
    <row r="16">
      <c r="A16" s="44" t="s">
        <v>40</v>
      </c>
      <c r="B16" s="34" t="s">
        <v>45</v>
      </c>
      <c r="C16" s="37">
        <v>10.0</v>
      </c>
      <c r="D16" s="36" t="s">
        <v>35</v>
      </c>
      <c r="E16" s="36">
        <v>1.5</v>
      </c>
      <c r="F16" s="36" t="s">
        <v>35</v>
      </c>
      <c r="G16" s="36" t="s">
        <v>35</v>
      </c>
      <c r="H16" s="36" t="s">
        <v>35</v>
      </c>
      <c r="I16" s="37">
        <v>25.0</v>
      </c>
      <c r="J16" s="36" t="s">
        <v>35</v>
      </c>
      <c r="K16" s="45">
        <v>0.5694444444444444</v>
      </c>
      <c r="L16" s="36"/>
      <c r="M16" s="36">
        <f>55+37</f>
        <v>92</v>
      </c>
      <c r="N16" s="36">
        <v>50.0</v>
      </c>
    </row>
    <row r="17">
      <c r="A17" s="44" t="s">
        <v>40</v>
      </c>
      <c r="B17" s="38" t="s">
        <v>46</v>
      </c>
      <c r="C17" s="37">
        <v>10.0</v>
      </c>
      <c r="D17" s="36" t="s">
        <v>35</v>
      </c>
      <c r="E17" s="36">
        <v>1.5</v>
      </c>
      <c r="F17" s="36" t="s">
        <v>35</v>
      </c>
      <c r="G17" s="36" t="s">
        <v>35</v>
      </c>
      <c r="H17" s="36" t="s">
        <v>35</v>
      </c>
      <c r="I17" s="37">
        <v>25.0</v>
      </c>
      <c r="J17" s="36" t="s">
        <v>35</v>
      </c>
      <c r="K17" s="49">
        <v>0.5770833333333333</v>
      </c>
      <c r="L17" s="43"/>
      <c r="M17" s="43">
        <f>56+41+30</f>
        <v>127</v>
      </c>
      <c r="N17" s="43">
        <v>46.0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48"/>
      <c r="K18" s="2"/>
      <c r="L18" s="2"/>
      <c r="M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7">
    <mergeCell ref="A6:A7"/>
    <mergeCell ref="B6:B7"/>
    <mergeCell ref="C6:D6"/>
    <mergeCell ref="G6:H6"/>
    <mergeCell ref="I6:J6"/>
    <mergeCell ref="K6:N6"/>
    <mergeCell ref="A19:B19"/>
  </mergeCells>
  <drawing r:id="rId1"/>
  <tableParts count="1">
    <tablePart r:id="rId3"/>
  </tableParts>
</worksheet>
</file>