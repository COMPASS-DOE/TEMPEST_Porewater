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Sulfide/2024/Raw Data/"/>
    </mc:Choice>
  </mc:AlternateContent>
  <xr:revisionPtr revIDLastSave="5" documentId="13_ncr:1_{81C665E9-AB89-45F8-8E13-2225F1AB4B0D}" xr6:coauthVersionLast="47" xr6:coauthVersionMax="47" xr10:uidLastSave="{5E147060-17B8-4DA1-B743-B0BBCCF5512B}"/>
  <bookViews>
    <workbookView xWindow="-19320" yWindow="690" windowWidth="19440" windowHeight="14880" activeTab="1" xr2:uid="{217D31C7-3677-45E3-B772-062F6D24D7E9}"/>
  </bookViews>
  <sheets>
    <sheet name="Lab Check" sheetId="1" r:id="rId1"/>
    <sheet name="Plate 1" sheetId="2" r:id="rId2"/>
    <sheet name="Plate 2" sheetId="3" r:id="rId3"/>
    <sheet name="Plate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R7" i="1"/>
  <c r="R6" i="1"/>
  <c r="R5" i="1"/>
  <c r="R4" i="1"/>
  <c r="R3" i="1"/>
  <c r="K7" i="1"/>
  <c r="K8" i="1"/>
  <c r="K6" i="1"/>
  <c r="K5" i="1"/>
  <c r="K4" i="1"/>
  <c r="K3" i="1"/>
  <c r="C7" i="1"/>
  <c r="C4" i="1"/>
  <c r="C5" i="1"/>
  <c r="C6" i="1"/>
  <c r="C8" i="1"/>
  <c r="C3" i="1"/>
</calcChain>
</file>

<file path=xl/sharedStrings.xml><?xml version="1.0" encoding="utf-8"?>
<sst xmlns="http://schemas.openxmlformats.org/spreadsheetml/2006/main" count="380" uniqueCount="110">
  <si>
    <t>A</t>
  </si>
  <si>
    <t>B</t>
  </si>
  <si>
    <t>C</t>
  </si>
  <si>
    <t>D</t>
  </si>
  <si>
    <t>E</t>
  </si>
  <si>
    <t>F</t>
  </si>
  <si>
    <t>G</t>
  </si>
  <si>
    <t>H</t>
  </si>
  <si>
    <t>Standard</t>
  </si>
  <si>
    <t>Sulfide (uM)</t>
  </si>
  <si>
    <t>Average</t>
  </si>
  <si>
    <t>Abs 1</t>
  </si>
  <si>
    <t>Abs 2</t>
  </si>
  <si>
    <t>Abs 3</t>
  </si>
  <si>
    <t>S0</t>
  </si>
  <si>
    <t>S1</t>
  </si>
  <si>
    <t>S2</t>
  </si>
  <si>
    <t>S3</t>
  </si>
  <si>
    <t>S4</t>
  </si>
  <si>
    <t>S5</t>
  </si>
  <si>
    <t>Plate 1</t>
  </si>
  <si>
    <t>Plate 2</t>
  </si>
  <si>
    <t>Plate2</t>
  </si>
  <si>
    <t>IDs</t>
  </si>
  <si>
    <t>STD0_0uM</t>
  </si>
  <si>
    <t>STD1_5uM</t>
  </si>
  <si>
    <t>STD2_12.5uM</t>
  </si>
  <si>
    <t>STD3_25uM</t>
  </si>
  <si>
    <t>STD4_50uM</t>
  </si>
  <si>
    <t>STD5_100uM</t>
  </si>
  <si>
    <t>10ppt_S5</t>
  </si>
  <si>
    <t>20ppt_S6</t>
  </si>
  <si>
    <t>T0_20240610_FW_C6</t>
  </si>
  <si>
    <t>T0_20240610_FW_D5</t>
  </si>
  <si>
    <t>T0_20240610_FW_I5</t>
  </si>
  <si>
    <t>T0_20240610_C_H6</t>
  </si>
  <si>
    <t>T1_20240611_FW_C3</t>
  </si>
  <si>
    <t>T1_20240611_FW_C6</t>
  </si>
  <si>
    <t>T1_20240611_FW_D5</t>
  </si>
  <si>
    <t>T1_20240611_FW_F4</t>
  </si>
  <si>
    <t>T1_20240611_FW_I5</t>
  </si>
  <si>
    <t>T1_20240611_SW_B4</t>
  </si>
  <si>
    <t>T1_20240611_SW_F6</t>
  </si>
  <si>
    <t>T2_20240612_FW_C3</t>
  </si>
  <si>
    <t>T2_20240612_FW_C6</t>
  </si>
  <si>
    <t>T2_20240612_FW_C6_DUP</t>
  </si>
  <si>
    <t>T2_20240612_FW_D5</t>
  </si>
  <si>
    <t>T2_20240612_FW_D5_SPK</t>
  </si>
  <si>
    <t>T2_20240612_FW_E3</t>
  </si>
  <si>
    <t>T2_20240612_FW_F4</t>
  </si>
  <si>
    <t>T2_20240612_FW_H3</t>
  </si>
  <si>
    <t>T2_20240612_FW_F6</t>
  </si>
  <si>
    <t>T2_20240612_FW_I5</t>
  </si>
  <si>
    <t>T2_20240612_SW_B4</t>
  </si>
  <si>
    <t>T2_20240612_SW_C3</t>
  </si>
  <si>
    <t>T2_20240612_SW_D5</t>
  </si>
  <si>
    <t>T2_20240612_SW_E3</t>
  </si>
  <si>
    <t>T2_20240612_SW_F6</t>
  </si>
  <si>
    <t>T2_20240612_SW_H6</t>
  </si>
  <si>
    <t>T2_20240612_SW_I5</t>
  </si>
  <si>
    <t>T3_20240612_FW_C3</t>
  </si>
  <si>
    <t>T3_20240612_FW_D5</t>
  </si>
  <si>
    <t>T0_20240610_C_H</t>
  </si>
  <si>
    <t>T3_20240612_FW_C6</t>
  </si>
  <si>
    <t>T3_20240612_FW_F4</t>
  </si>
  <si>
    <t>T3_20240612_FW_F6</t>
  </si>
  <si>
    <t>T3_20240612_FW_H3</t>
  </si>
  <si>
    <t>T3_20240612_FW_H6</t>
  </si>
  <si>
    <t>T3_20240612_FW_I5</t>
  </si>
  <si>
    <t>T3_20240612_SW_B4</t>
  </si>
  <si>
    <t>T3_20240612_SW_B4_DUP</t>
  </si>
  <si>
    <t>T3_20240612_SW_C3</t>
  </si>
  <si>
    <t>T3_20240612_SW_C3_SPK</t>
  </si>
  <si>
    <t>T4_20240612_FW_F4</t>
  </si>
  <si>
    <t>T3_20240612_SW_E3</t>
  </si>
  <si>
    <t>T3_20240612_SW_F6</t>
  </si>
  <si>
    <t>T3_20240612_SW_H3</t>
  </si>
  <si>
    <t>T3_20240612_SW_H6</t>
  </si>
  <si>
    <t>T4_20240612_FW_B4</t>
  </si>
  <si>
    <t>T4_20240612_FW_C3</t>
  </si>
  <si>
    <t>T4_20240612_FW_C6</t>
  </si>
  <si>
    <t>NA</t>
  </si>
  <si>
    <t>T4_20240613_FW_F4</t>
  </si>
  <si>
    <t>T4_20240613_FW_B4</t>
  </si>
  <si>
    <t>T4_20240613_FW_C3</t>
  </si>
  <si>
    <t>T4_20240613_FW_C6</t>
  </si>
  <si>
    <t>T4_20240613_FW_D5</t>
  </si>
  <si>
    <t>T4_20240613_FW_E3</t>
  </si>
  <si>
    <t>T4_20240613_FW_H3</t>
  </si>
  <si>
    <t>T4_20240613_FW_H6</t>
  </si>
  <si>
    <t>T4_20240613_SW_B4</t>
  </si>
  <si>
    <t>T4_20240613_FW_I5</t>
  </si>
  <si>
    <t>T4_20240613_SW_C3</t>
  </si>
  <si>
    <t>T4_20240613_SW_C6</t>
  </si>
  <si>
    <t>T4_20240613_SW_D5</t>
  </si>
  <si>
    <t>T4_20240613_SW_E3</t>
  </si>
  <si>
    <t>T4_20240613_SW_F6</t>
  </si>
  <si>
    <t>T4_20240613_SW_H6</t>
  </si>
  <si>
    <t>T4_20240613_SW_H6_DUP</t>
  </si>
  <si>
    <t>T4_20240613_SW_I5</t>
  </si>
  <si>
    <t>T4_20240613_SW_I5_SPK</t>
  </si>
  <si>
    <t>20240617_FW_C6</t>
  </si>
  <si>
    <t>20240617_FW_D5</t>
  </si>
  <si>
    <t>20240617_FW_F4</t>
  </si>
  <si>
    <t>20240617_FW_I5</t>
  </si>
  <si>
    <t>20240617_SW_B4</t>
  </si>
  <si>
    <t>20240617_SW_C3</t>
  </si>
  <si>
    <t>20240617_SW_D5</t>
  </si>
  <si>
    <t>20240617_SW_F6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</si>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</sst>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Check'!$B$3:$B$8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'Lab Check'!$C$3:$C$8</c:f>
              <c:numCache>
                <c:formatCode>General</c:formatCode>
                <c:ptCount val="6"/>
                <c:pt idx="0">
                  <c:v>5.1333333333333342E-2</c:v>
                </c:pt>
                <c:pt idx="1">
                  <c:v>0.17466666666666666</c:v>
                </c:pt>
                <c:pt idx="2">
                  <c:v>0.24299999999999999</c:v>
                </c:pt>
                <c:pt idx="3">
                  <c:v>0.4506666666666666</c:v>
                </c:pt>
                <c:pt idx="4">
                  <c:v>0.80649999999999999</c:v>
                </c:pt>
                <c:pt idx="5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D-4EA5-977A-D013972A0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17576"/>
        <c:axId val="434913968"/>
      </c:scatterChart>
      <c:valAx>
        <c:axId val="43491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13968"/>
        <c:crosses val="autoZero"/>
        <c:crossBetween val="midCat"/>
      </c:valAx>
      <c:valAx>
        <c:axId val="43491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17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899080396954218E-2"/>
                  <c:y val="-2.51824317059526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Check'!$J$3:$J$8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'Lab Check'!$K$3:$K$8</c:f>
              <c:numCache>
                <c:formatCode>General</c:formatCode>
                <c:ptCount val="6"/>
                <c:pt idx="0">
                  <c:v>5.3333333333333337E-2</c:v>
                </c:pt>
                <c:pt idx="1">
                  <c:v>0.13133333333333333</c:v>
                </c:pt>
                <c:pt idx="2">
                  <c:v>0.23599999999999999</c:v>
                </c:pt>
                <c:pt idx="3">
                  <c:v>0.41433333333333339</c:v>
                </c:pt>
                <c:pt idx="4">
                  <c:v>0.77466666666666661</c:v>
                </c:pt>
                <c:pt idx="5">
                  <c:v>1.2663333333333333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F5-45D3-B294-F13D59C6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02552"/>
        <c:axId val="437601240"/>
      </c:scatterChart>
      <c:valAx>
        <c:axId val="43760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1240"/>
        <c:crosses val="autoZero"/>
        <c:crossBetween val="midCat"/>
      </c:valAx>
      <c:valAx>
        <c:axId val="43760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2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899080396954218E-2"/>
                  <c:y val="-2.51824317059526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Check'!$J$3:$J$8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'Lab Check'!$R$3:$R$8</c:f>
              <c:numCache>
                <c:formatCode>General</c:formatCode>
                <c:ptCount val="6"/>
                <c:pt idx="0">
                  <c:v>5.0333333333333334E-2</c:v>
                </c:pt>
                <c:pt idx="1">
                  <c:v>0.13433333333333333</c:v>
                </c:pt>
                <c:pt idx="2">
                  <c:v>0.24733333333333332</c:v>
                </c:pt>
                <c:pt idx="3">
                  <c:v>0.44266666666666671</c:v>
                </c:pt>
                <c:pt idx="4">
                  <c:v>0.79566666666666663</c:v>
                </c:pt>
                <c:pt idx="5">
                  <c:v>1.3503333333333334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32-4CE8-99C9-26EE51DF8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602552"/>
        <c:axId val="437601240"/>
      </c:scatterChart>
      <c:valAx>
        <c:axId val="43760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1240"/>
        <c:crosses val="autoZero"/>
        <c:crossBetween val="midCat"/>
      </c:valAx>
      <c:valAx>
        <c:axId val="43760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02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8</xdr:row>
      <xdr:rowOff>147637</xdr:rowOff>
    </xdr:from>
    <xdr:to>
      <xdr:col>6</xdr:col>
      <xdr:colOff>47625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D4CFE-2857-4CE9-B9EE-62D03936D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300037</xdr:colOff>
      <xdr:row>9</xdr:row>
      <xdr:rowOff>23812</xdr:rowOff>
    </xdr:from>
    <xdr:to>
      <xdr:col>13</xdr:col>
      <xdr:colOff>428625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23E73C-BA10-4A35-9E89-CB31CB1E8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285750</xdr:colOff>
      <xdr:row>8</xdr:row>
      <xdr:rowOff>114300</xdr:rowOff>
    </xdr:from>
    <xdr:to>
      <xdr:col>20</xdr:col>
      <xdr:colOff>414338</xdr:colOff>
      <xdr:row>22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52CB1-A544-4269-A240-4D8815CA0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490B-6EFA-4564-93D1-114757CFBA34}">
  <dimension ref="A1:U8"/>
  <sheetViews>
    <sheetView topLeftCell="H1" workbookViewId="0">
      <selection activeCell="O17" sqref="O17"/>
    </sheetView>
  </sheetViews>
  <sheetFormatPr defaultRowHeight="15" x14ac:dyDescent="0.25"/>
  <sheetData>
    <row r="1" spans="1:21" x14ac:dyDescent="0.25">
      <c r="A1" t="s">
        <v>20</v>
      </c>
      <c r="I1" t="s">
        <v>21</v>
      </c>
      <c r="P1" t="s">
        <v>109</v>
      </c>
    </row>
    <row r="2" spans="1:2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</row>
    <row r="3" spans="1:21" x14ac:dyDescent="0.25">
      <c r="A3" t="s">
        <v>14</v>
      </c>
      <c r="B3">
        <v>0</v>
      </c>
      <c r="C3">
        <f>AVERAGE(D3:F3)</f>
        <v>5.1333333333333342E-2</v>
      </c>
      <c r="D3" s="4">
        <v>4.8000000000000001E-2</v>
      </c>
      <c r="E3" s="4">
        <v>5.6000000000000001E-2</v>
      </c>
      <c r="F3" s="4">
        <v>0.05</v>
      </c>
      <c r="I3" t="s">
        <v>14</v>
      </c>
      <c r="J3">
        <v>0</v>
      </c>
      <c r="K3">
        <f>AVERAGE(L3:N3)</f>
        <v>5.3333333333333337E-2</v>
      </c>
      <c r="L3" s="4">
        <v>5.0999999999999997E-2</v>
      </c>
      <c r="M3" s="4">
        <v>5.2999999999999999E-2</v>
      </c>
      <c r="N3" s="4">
        <v>5.6000000000000001E-2</v>
      </c>
      <c r="P3" t="s">
        <v>14</v>
      </c>
      <c r="Q3">
        <v>0</v>
      </c>
      <c r="R3">
        <f>AVERAGE(S3:U3)</f>
        <v>5.0333333333333334E-2</v>
      </c>
      <c r="S3" s="4">
        <v>4.8000000000000001E-2</v>
      </c>
      <c r="T3" s="4">
        <v>5.1999999999999998E-2</v>
      </c>
      <c r="U3" s="4">
        <v>5.0999999999999997E-2</v>
      </c>
    </row>
    <row r="4" spans="1:21" x14ac:dyDescent="0.25">
      <c r="A4" t="s">
        <v>15</v>
      </c>
      <c r="B4">
        <v>5</v>
      </c>
      <c r="C4">
        <f t="shared" ref="C4:C8" si="0">AVERAGE(D4:F4)</f>
        <v>0.17466666666666666</v>
      </c>
      <c r="D4" s="4">
        <v>0.19</v>
      </c>
      <c r="E4" s="4">
        <v>0.182</v>
      </c>
      <c r="F4" s="4">
        <v>0.152</v>
      </c>
      <c r="I4" t="s">
        <v>15</v>
      </c>
      <c r="J4">
        <v>5</v>
      </c>
      <c r="K4">
        <f t="shared" ref="K4:K6" si="1">AVERAGE(L4:N4)</f>
        <v>0.13133333333333333</v>
      </c>
      <c r="L4" s="4">
        <v>0.123</v>
      </c>
      <c r="M4" s="4">
        <v>0.14799999999999999</v>
      </c>
      <c r="N4" s="4">
        <v>0.123</v>
      </c>
      <c r="P4" t="s">
        <v>15</v>
      </c>
      <c r="Q4">
        <v>5</v>
      </c>
      <c r="R4">
        <f t="shared" ref="R4:R6" si="2">AVERAGE(S4:U4)</f>
        <v>0.13433333333333333</v>
      </c>
      <c r="S4" s="4">
        <v>0.11799999999999999</v>
      </c>
      <c r="T4" s="4">
        <v>0.13200000000000001</v>
      </c>
      <c r="U4" s="4">
        <v>0.153</v>
      </c>
    </row>
    <row r="5" spans="1:21" x14ac:dyDescent="0.25">
      <c r="A5" t="s">
        <v>16</v>
      </c>
      <c r="B5">
        <v>12.5</v>
      </c>
      <c r="C5">
        <f t="shared" si="0"/>
        <v>0.24299999999999999</v>
      </c>
      <c r="D5" s="4">
        <v>0.255</v>
      </c>
      <c r="E5" s="4">
        <v>0.21</v>
      </c>
      <c r="F5" s="4">
        <v>0.26400000000000001</v>
      </c>
      <c r="I5" t="s">
        <v>16</v>
      </c>
      <c r="J5">
        <v>12.5</v>
      </c>
      <c r="K5">
        <f t="shared" si="1"/>
        <v>0.23599999999999999</v>
      </c>
      <c r="L5" s="4">
        <v>0.248</v>
      </c>
      <c r="M5" s="4">
        <v>0.23100000000000001</v>
      </c>
      <c r="N5" s="4">
        <v>0.22900000000000001</v>
      </c>
      <c r="P5" t="s">
        <v>16</v>
      </c>
      <c r="Q5">
        <v>12.5</v>
      </c>
      <c r="R5">
        <f t="shared" si="2"/>
        <v>0.24733333333333332</v>
      </c>
      <c r="S5" s="4">
        <v>0.22900000000000001</v>
      </c>
      <c r="T5" s="4">
        <v>0.23799999999999999</v>
      </c>
      <c r="U5" s="4">
        <v>0.27500000000000002</v>
      </c>
    </row>
    <row r="6" spans="1:21" x14ac:dyDescent="0.25">
      <c r="A6" t="s">
        <v>17</v>
      </c>
      <c r="B6">
        <v>25</v>
      </c>
      <c r="C6">
        <f t="shared" si="0"/>
        <v>0.4506666666666666</v>
      </c>
      <c r="D6" s="4">
        <v>0.42599999999999999</v>
      </c>
      <c r="E6" s="4">
        <v>0.42499999999999999</v>
      </c>
      <c r="F6" s="4">
        <v>0.501</v>
      </c>
      <c r="I6" t="s">
        <v>17</v>
      </c>
      <c r="J6">
        <v>25</v>
      </c>
      <c r="K6">
        <f t="shared" si="1"/>
        <v>0.41433333333333339</v>
      </c>
      <c r="L6" s="4">
        <v>0.41</v>
      </c>
      <c r="M6" s="4">
        <v>0.40200000000000002</v>
      </c>
      <c r="N6" s="4">
        <v>0.43099999999999999</v>
      </c>
      <c r="P6" t="s">
        <v>17</v>
      </c>
      <c r="Q6">
        <v>25</v>
      </c>
      <c r="R6">
        <f t="shared" si="2"/>
        <v>0.44266666666666671</v>
      </c>
      <c r="S6" s="4">
        <v>0.44800000000000001</v>
      </c>
      <c r="T6" s="4">
        <v>0.42599999999999999</v>
      </c>
      <c r="U6" s="4">
        <v>0.45400000000000001</v>
      </c>
    </row>
    <row r="7" spans="1:21" x14ac:dyDescent="0.25">
      <c r="A7" t="s">
        <v>18</v>
      </c>
      <c r="B7">
        <v>50</v>
      </c>
      <c r="C7">
        <f>AVERAGE(D7:E7)</f>
        <v>0.80649999999999999</v>
      </c>
      <c r="D7" s="4">
        <v>0.81100000000000005</v>
      </c>
      <c r="E7" s="4">
        <v>0.80200000000000005</v>
      </c>
      <c r="F7" s="5">
        <v>0.874</v>
      </c>
      <c r="I7" t="s">
        <v>18</v>
      </c>
      <c r="J7">
        <v>50</v>
      </c>
      <c r="K7">
        <f>AVERAGE(L7:N7)</f>
        <v>0.77466666666666661</v>
      </c>
      <c r="L7" s="4">
        <v>0.77800000000000002</v>
      </c>
      <c r="M7" s="4">
        <v>0.73099999999999998</v>
      </c>
      <c r="N7" s="4">
        <v>0.81499999999999995</v>
      </c>
      <c r="P7" t="s">
        <v>18</v>
      </c>
      <c r="Q7">
        <v>50</v>
      </c>
      <c r="R7">
        <f>AVERAGE(S7:U7)</f>
        <v>0.79566666666666663</v>
      </c>
      <c r="S7" s="4">
        <v>0.82099999999999995</v>
      </c>
      <c r="T7" s="4">
        <v>0.79600000000000004</v>
      </c>
      <c r="U7" s="4">
        <v>0.77</v>
      </c>
    </row>
    <row r="8" spans="1:21" x14ac:dyDescent="0.25">
      <c r="A8" t="s">
        <v>19</v>
      </c>
      <c r="B8">
        <v>100</v>
      </c>
      <c r="C8">
        <f t="shared" si="0"/>
        <v>1.3</v>
      </c>
      <c r="D8" s="4">
        <v>1.355</v>
      </c>
      <c r="E8" s="4">
        <v>1.27</v>
      </c>
      <c r="F8" s="4">
        <v>1.2749999999999999</v>
      </c>
      <c r="I8" t="s">
        <v>19</v>
      </c>
      <c r="J8">
        <v>100</v>
      </c>
      <c r="K8">
        <f t="shared" ref="K8" si="3">AVERAGE(L8:N8)</f>
        <v>1.2663333333333333</v>
      </c>
      <c r="L8" s="4">
        <v>1.252</v>
      </c>
      <c r="M8" s="4">
        <v>1.2729999999999999</v>
      </c>
      <c r="N8" s="4">
        <v>1.274</v>
      </c>
      <c r="P8" t="s">
        <v>19</v>
      </c>
      <c r="Q8">
        <v>100</v>
      </c>
      <c r="R8">
        <f t="shared" ref="R8" si="4">AVERAGE(S8:U8)</f>
        <v>1.3503333333333334</v>
      </c>
      <c r="S8" s="4">
        <v>1.3360000000000001</v>
      </c>
      <c r="T8" s="4">
        <v>1.343</v>
      </c>
      <c r="U8" s="4">
        <v>1.3720000000000001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36DA-8916-4551-82D4-D35943EEAC40}">
  <dimension ref="A2:N22"/>
  <sheetViews>
    <sheetView tabSelected="1" topLeftCell="I10" workbookViewId="0">
      <selection activeCell="O20" sqref="O20"/>
    </sheetView>
  </sheetViews>
  <sheetFormatPr defaultRowHeight="15" x14ac:dyDescent="0.25"/>
  <cols>
    <col min="5" max="13" width="39.140625" customWidth="1"/>
  </cols>
  <sheetData>
    <row r="2" spans="1:14" x14ac:dyDescent="0.25">
      <c r="A2" s="1" t="s">
        <v>20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4" x14ac:dyDescent="0.25">
      <c r="A3" s="2" t="s">
        <v>0</v>
      </c>
      <c r="B3" s="4">
        <v>4.8000000000000001E-2</v>
      </c>
      <c r="C3" s="4">
        <v>5.6000000000000001E-2</v>
      </c>
      <c r="D3" s="4">
        <v>0.05</v>
      </c>
      <c r="E3" s="4">
        <v>5.0999999999999997E-2</v>
      </c>
      <c r="F3" s="4">
        <v>5.0999999999999997E-2</v>
      </c>
      <c r="G3" s="4">
        <v>5.0999999999999997E-2</v>
      </c>
      <c r="H3" s="4">
        <v>5.1999999999999998E-2</v>
      </c>
      <c r="I3" s="4">
        <v>5.0999999999999997E-2</v>
      </c>
      <c r="J3" s="4">
        <v>0.05</v>
      </c>
      <c r="K3" s="4">
        <v>5.0999999999999997E-2</v>
      </c>
      <c r="L3" s="4">
        <v>5.1999999999999998E-2</v>
      </c>
      <c r="M3" s="4">
        <v>5.1999999999999998E-2</v>
      </c>
      <c r="N3" s="3">
        <v>670</v>
      </c>
    </row>
    <row r="4" spans="1:14" x14ac:dyDescent="0.25">
      <c r="A4" s="2" t="s">
        <v>1</v>
      </c>
      <c r="B4" s="4">
        <v>0.19</v>
      </c>
      <c r="C4" s="4">
        <v>0.182</v>
      </c>
      <c r="D4" s="4">
        <v>0.152</v>
      </c>
      <c r="E4" s="4">
        <v>5.0999999999999997E-2</v>
      </c>
      <c r="F4" s="4">
        <v>0.05</v>
      </c>
      <c r="G4" s="4">
        <v>5.0999999999999997E-2</v>
      </c>
      <c r="H4" s="4">
        <v>5.8999999999999997E-2</v>
      </c>
      <c r="I4" s="4">
        <v>0.06</v>
      </c>
      <c r="J4" s="4">
        <v>5.8999999999999997E-2</v>
      </c>
      <c r="K4" s="4">
        <v>4.9000000000000002E-2</v>
      </c>
      <c r="L4" s="4">
        <v>5.0999999999999997E-2</v>
      </c>
      <c r="M4" s="4">
        <v>5.1999999999999998E-2</v>
      </c>
      <c r="N4" s="3">
        <v>670</v>
      </c>
    </row>
    <row r="5" spans="1:14" x14ac:dyDescent="0.25">
      <c r="A5" s="2" t="s">
        <v>2</v>
      </c>
      <c r="B5" s="4">
        <v>0.255</v>
      </c>
      <c r="C5" s="4">
        <v>0.21</v>
      </c>
      <c r="D5" s="4">
        <v>0.26400000000000001</v>
      </c>
      <c r="E5" s="4">
        <v>4.9000000000000002E-2</v>
      </c>
      <c r="F5" s="4">
        <v>4.9000000000000002E-2</v>
      </c>
      <c r="G5" s="4">
        <v>4.9000000000000002E-2</v>
      </c>
      <c r="H5" s="4">
        <v>6.6000000000000003E-2</v>
      </c>
      <c r="I5" s="4">
        <v>6.6000000000000003E-2</v>
      </c>
      <c r="J5" s="4">
        <v>6.4000000000000001E-2</v>
      </c>
      <c r="K5" s="4">
        <v>5.2999999999999999E-2</v>
      </c>
      <c r="L5" s="4">
        <v>5.0999999999999997E-2</v>
      </c>
      <c r="M5" s="4">
        <v>5.2999999999999999E-2</v>
      </c>
      <c r="N5" s="3">
        <v>670</v>
      </c>
    </row>
    <row r="6" spans="1:14" x14ac:dyDescent="0.25">
      <c r="A6" s="2" t="s">
        <v>3</v>
      </c>
      <c r="B6" s="4">
        <v>0.42599999999999999</v>
      </c>
      <c r="C6" s="4">
        <v>0.42499999999999999</v>
      </c>
      <c r="D6" s="4">
        <v>0.501</v>
      </c>
      <c r="E6" s="4">
        <v>5.0999999999999997E-2</v>
      </c>
      <c r="F6" s="4">
        <v>5.0999999999999997E-2</v>
      </c>
      <c r="G6" s="4">
        <v>4.9000000000000002E-2</v>
      </c>
      <c r="H6" s="4">
        <v>5.0999999999999997E-2</v>
      </c>
      <c r="I6" s="4">
        <v>5.0999999999999997E-2</v>
      </c>
      <c r="J6" s="4">
        <v>5.1999999999999998E-2</v>
      </c>
      <c r="K6" s="4">
        <v>0.05</v>
      </c>
      <c r="L6" s="4">
        <v>5.1999999999999998E-2</v>
      </c>
      <c r="M6" s="4">
        <v>5.0999999999999997E-2</v>
      </c>
      <c r="N6" s="3">
        <v>670</v>
      </c>
    </row>
    <row r="7" spans="1:14" x14ac:dyDescent="0.25">
      <c r="A7" s="2" t="s">
        <v>4</v>
      </c>
      <c r="B7" s="4">
        <v>0.81100000000000005</v>
      </c>
      <c r="C7" s="4">
        <v>0.80200000000000005</v>
      </c>
      <c r="D7" s="4">
        <v>0.874</v>
      </c>
      <c r="E7" s="4">
        <v>5.0999999999999997E-2</v>
      </c>
      <c r="F7" s="4">
        <v>0.05</v>
      </c>
      <c r="G7" s="4">
        <v>0.05</v>
      </c>
      <c r="H7" s="4">
        <v>0.05</v>
      </c>
      <c r="I7" s="4">
        <v>4.9000000000000002E-2</v>
      </c>
      <c r="J7" s="4">
        <v>5.0999999999999997E-2</v>
      </c>
      <c r="K7" s="4">
        <v>5.1999999999999998E-2</v>
      </c>
      <c r="L7" s="4">
        <v>5.0999999999999997E-2</v>
      </c>
      <c r="M7" s="4">
        <v>5.0999999999999997E-2</v>
      </c>
      <c r="N7" s="3">
        <v>670</v>
      </c>
    </row>
    <row r="8" spans="1:14" x14ac:dyDescent="0.25">
      <c r="A8" s="2" t="s">
        <v>5</v>
      </c>
      <c r="B8" s="4">
        <v>1.355</v>
      </c>
      <c r="C8" s="4">
        <v>1.27</v>
      </c>
      <c r="D8" s="4">
        <v>1.2749999999999999</v>
      </c>
      <c r="E8" s="4">
        <v>4.9000000000000002E-2</v>
      </c>
      <c r="F8" s="4">
        <v>5.0999999999999997E-2</v>
      </c>
      <c r="G8" s="4">
        <v>5.1999999999999998E-2</v>
      </c>
      <c r="H8" s="4">
        <v>5.2999999999999999E-2</v>
      </c>
      <c r="I8" s="4">
        <v>5.0999999999999997E-2</v>
      </c>
      <c r="J8" s="4">
        <v>5.0999999999999997E-2</v>
      </c>
      <c r="K8" s="4">
        <v>5.1999999999999998E-2</v>
      </c>
      <c r="L8" s="4">
        <v>5.0999999999999997E-2</v>
      </c>
      <c r="M8" s="4">
        <v>4.9000000000000002E-2</v>
      </c>
      <c r="N8" s="3">
        <v>670</v>
      </c>
    </row>
    <row r="9" spans="1:14" x14ac:dyDescent="0.25">
      <c r="A9" s="2" t="s">
        <v>6</v>
      </c>
      <c r="B9" s="4">
        <v>1.2629999999999999</v>
      </c>
      <c r="C9" s="4">
        <v>1.25</v>
      </c>
      <c r="D9" s="4">
        <v>1.272</v>
      </c>
      <c r="E9" s="4">
        <v>5.2999999999999999E-2</v>
      </c>
      <c r="F9" s="4">
        <v>5.1999999999999998E-2</v>
      </c>
      <c r="G9" s="4">
        <v>5.0999999999999997E-2</v>
      </c>
      <c r="H9" s="4">
        <v>5.2999999999999999E-2</v>
      </c>
      <c r="I9" s="4">
        <v>5.1999999999999998E-2</v>
      </c>
      <c r="J9" s="4">
        <v>5.2999999999999999E-2</v>
      </c>
      <c r="K9" s="4">
        <v>4.8000000000000001E-2</v>
      </c>
      <c r="L9" s="4">
        <v>5.0999999999999997E-2</v>
      </c>
      <c r="M9" s="4">
        <v>5.0999999999999997E-2</v>
      </c>
      <c r="N9" s="3">
        <v>670</v>
      </c>
    </row>
    <row r="10" spans="1:14" x14ac:dyDescent="0.25">
      <c r="A10" s="2" t="s">
        <v>7</v>
      </c>
      <c r="B10" s="4">
        <v>1.369</v>
      </c>
      <c r="C10" s="4">
        <v>1.2689999999999999</v>
      </c>
      <c r="D10" s="4">
        <v>1.2390000000000001</v>
      </c>
      <c r="E10" s="4">
        <v>5.0999999999999997E-2</v>
      </c>
      <c r="F10" s="4">
        <v>0.05</v>
      </c>
      <c r="G10" s="4">
        <v>5.0999999999999997E-2</v>
      </c>
      <c r="H10" s="4">
        <v>0.41199999999999998</v>
      </c>
      <c r="I10" s="4">
        <v>0.36</v>
      </c>
      <c r="J10" s="4">
        <v>0.33</v>
      </c>
      <c r="K10" s="4">
        <v>0.05</v>
      </c>
      <c r="L10" s="4">
        <v>5.1999999999999998E-2</v>
      </c>
      <c r="M10" s="4">
        <v>5.1999999999999998E-2</v>
      </c>
      <c r="N10" s="3">
        <v>670</v>
      </c>
    </row>
    <row r="14" spans="1:14" x14ac:dyDescent="0.25">
      <c r="A14" s="1" t="s">
        <v>23</v>
      </c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4" ht="38.25" x14ac:dyDescent="0.25">
      <c r="A15" s="2" t="s">
        <v>0</v>
      </c>
      <c r="B15" s="4" t="s">
        <v>24</v>
      </c>
      <c r="C15" s="4" t="s">
        <v>24</v>
      </c>
      <c r="D15" s="4" t="s">
        <v>24</v>
      </c>
      <c r="E15" s="4" t="s">
        <v>32</v>
      </c>
      <c r="F15" s="4" t="s">
        <v>32</v>
      </c>
      <c r="G15" s="4" t="s">
        <v>32</v>
      </c>
      <c r="H15" s="4" t="s">
        <v>40</v>
      </c>
      <c r="I15" s="4" t="s">
        <v>40</v>
      </c>
      <c r="J15" s="4" t="s">
        <v>40</v>
      </c>
      <c r="K15" s="4" t="s">
        <v>48</v>
      </c>
      <c r="L15" s="4" t="s">
        <v>48</v>
      </c>
      <c r="M15" s="4" t="s">
        <v>48</v>
      </c>
    </row>
    <row r="16" spans="1:14" ht="38.25" x14ac:dyDescent="0.25">
      <c r="A16" s="2" t="s">
        <v>1</v>
      </c>
      <c r="B16" s="4" t="s">
        <v>25</v>
      </c>
      <c r="C16" s="4" t="s">
        <v>25</v>
      </c>
      <c r="D16" s="4" t="s">
        <v>25</v>
      </c>
      <c r="E16" s="4" t="s">
        <v>33</v>
      </c>
      <c r="F16" s="4" t="s">
        <v>33</v>
      </c>
      <c r="G16" s="4" t="s">
        <v>33</v>
      </c>
      <c r="H16" s="4" t="s">
        <v>41</v>
      </c>
      <c r="I16" s="4" t="s">
        <v>41</v>
      </c>
      <c r="J16" s="4" t="s">
        <v>41</v>
      </c>
      <c r="K16" s="4" t="s">
        <v>49</v>
      </c>
      <c r="L16" s="4" t="s">
        <v>49</v>
      </c>
      <c r="M16" s="4" t="s">
        <v>49</v>
      </c>
    </row>
    <row r="17" spans="1:13" ht="38.25" x14ac:dyDescent="0.25">
      <c r="A17" s="2" t="s">
        <v>2</v>
      </c>
      <c r="B17" s="4" t="s">
        <v>26</v>
      </c>
      <c r="C17" s="4" t="s">
        <v>26</v>
      </c>
      <c r="D17" s="4" t="s">
        <v>26</v>
      </c>
      <c r="E17" s="4" t="s">
        <v>34</v>
      </c>
      <c r="F17" s="4" t="s">
        <v>34</v>
      </c>
      <c r="G17" s="4" t="s">
        <v>34</v>
      </c>
      <c r="H17" s="4" t="s">
        <v>42</v>
      </c>
      <c r="I17" s="4" t="s">
        <v>42</v>
      </c>
      <c r="J17" s="4" t="s">
        <v>42</v>
      </c>
      <c r="K17" s="4" t="s">
        <v>50</v>
      </c>
      <c r="L17" s="4" t="s">
        <v>50</v>
      </c>
      <c r="M17" s="4" t="s">
        <v>50</v>
      </c>
    </row>
    <row r="18" spans="1:13" ht="38.25" x14ac:dyDescent="0.25">
      <c r="A18" s="2" t="s">
        <v>3</v>
      </c>
      <c r="B18" s="4" t="s">
        <v>27</v>
      </c>
      <c r="C18" s="4" t="s">
        <v>27</v>
      </c>
      <c r="D18" s="4" t="s">
        <v>27</v>
      </c>
      <c r="E18" s="4" t="s">
        <v>35</v>
      </c>
      <c r="F18" s="4" t="s">
        <v>36</v>
      </c>
      <c r="G18" s="4" t="s">
        <v>36</v>
      </c>
      <c r="H18" s="4" t="s">
        <v>36</v>
      </c>
      <c r="I18" s="4" t="s">
        <v>43</v>
      </c>
      <c r="J18" s="4" t="s">
        <v>43</v>
      </c>
      <c r="K18" s="4" t="s">
        <v>51</v>
      </c>
      <c r="L18" s="4" t="s">
        <v>51</v>
      </c>
      <c r="M18" s="4" t="s">
        <v>51</v>
      </c>
    </row>
    <row r="19" spans="1:13" ht="38.25" x14ac:dyDescent="0.25">
      <c r="A19" s="2" t="s">
        <v>4</v>
      </c>
      <c r="B19" s="4" t="s">
        <v>28</v>
      </c>
      <c r="C19" s="4" t="s">
        <v>28</v>
      </c>
      <c r="D19" s="4" t="s">
        <v>28</v>
      </c>
      <c r="E19" s="4" t="s">
        <v>36</v>
      </c>
      <c r="F19" s="4" t="s">
        <v>62</v>
      </c>
      <c r="G19" s="4" t="s">
        <v>62</v>
      </c>
      <c r="H19" s="4" t="s">
        <v>62</v>
      </c>
      <c r="I19" s="4" t="s">
        <v>44</v>
      </c>
      <c r="J19" s="4" t="s">
        <v>44</v>
      </c>
      <c r="K19" s="4" t="s">
        <v>52</v>
      </c>
      <c r="L19" s="4" t="s">
        <v>52</v>
      </c>
      <c r="M19" s="4" t="s">
        <v>52</v>
      </c>
    </row>
    <row r="20" spans="1:13" ht="38.25" x14ac:dyDescent="0.25">
      <c r="A20" s="2" t="s">
        <v>5</v>
      </c>
      <c r="B20" s="4" t="s">
        <v>29</v>
      </c>
      <c r="C20" s="4" t="s">
        <v>29</v>
      </c>
      <c r="D20" s="4" t="s">
        <v>29</v>
      </c>
      <c r="E20" s="4" t="s">
        <v>37</v>
      </c>
      <c r="F20" s="4" t="s">
        <v>37</v>
      </c>
      <c r="G20" s="4" t="s">
        <v>37</v>
      </c>
      <c r="H20" s="4" t="s">
        <v>45</v>
      </c>
      <c r="I20" s="4" t="s">
        <v>45</v>
      </c>
      <c r="J20" s="4" t="s">
        <v>45</v>
      </c>
      <c r="K20" s="4" t="s">
        <v>53</v>
      </c>
      <c r="L20" s="4" t="s">
        <v>53</v>
      </c>
      <c r="M20" s="4" t="s">
        <v>53</v>
      </c>
    </row>
    <row r="21" spans="1:13" ht="38.25" x14ac:dyDescent="0.25">
      <c r="A21" s="2" t="s">
        <v>6</v>
      </c>
      <c r="B21" s="4" t="s">
        <v>30</v>
      </c>
      <c r="C21" s="4" t="s">
        <v>30</v>
      </c>
      <c r="D21" s="4" t="s">
        <v>30</v>
      </c>
      <c r="E21" s="4" t="s">
        <v>38</v>
      </c>
      <c r="F21" s="4" t="s">
        <v>38</v>
      </c>
      <c r="G21" s="4" t="s">
        <v>38</v>
      </c>
      <c r="H21" s="4" t="s">
        <v>46</v>
      </c>
      <c r="I21" s="4" t="s">
        <v>46</v>
      </c>
      <c r="J21" s="4" t="s">
        <v>46</v>
      </c>
      <c r="K21" s="4" t="s">
        <v>54</v>
      </c>
      <c r="L21" s="4" t="s">
        <v>54</v>
      </c>
      <c r="M21" s="4" t="s">
        <v>54</v>
      </c>
    </row>
    <row r="22" spans="1:13" ht="38.25" x14ac:dyDescent="0.25">
      <c r="A22" s="2" t="s">
        <v>7</v>
      </c>
      <c r="B22" s="4" t="s">
        <v>31</v>
      </c>
      <c r="C22" s="4" t="s">
        <v>31</v>
      </c>
      <c r="D22" s="4" t="s">
        <v>31</v>
      </c>
      <c r="E22" s="4" t="s">
        <v>39</v>
      </c>
      <c r="F22" s="4" t="s">
        <v>39</v>
      </c>
      <c r="G22" s="4" t="s">
        <v>39</v>
      </c>
      <c r="H22" s="4" t="s">
        <v>47</v>
      </c>
      <c r="I22" s="4" t="s">
        <v>47</v>
      </c>
      <c r="J22" s="4" t="s">
        <v>47</v>
      </c>
      <c r="K22" s="4" t="s">
        <v>55</v>
      </c>
      <c r="L22" s="4" t="s">
        <v>55</v>
      </c>
      <c r="M22" s="4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26F3-DC46-4856-B879-BEE519F34DB3}">
  <dimension ref="A3:N23"/>
  <sheetViews>
    <sheetView topLeftCell="I10" workbookViewId="0">
      <selection activeCell="J27" sqref="J27"/>
    </sheetView>
  </sheetViews>
  <sheetFormatPr defaultRowHeight="15" x14ac:dyDescent="0.25"/>
  <cols>
    <col min="5" max="13" width="33.7109375" customWidth="1"/>
  </cols>
  <sheetData>
    <row r="3" spans="1:14" x14ac:dyDescent="0.25">
      <c r="A3" s="1" t="s">
        <v>22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25">
      <c r="A4" s="2" t="s">
        <v>0</v>
      </c>
      <c r="B4" s="4">
        <v>5.0999999999999997E-2</v>
      </c>
      <c r="C4" s="4">
        <v>5.2999999999999999E-2</v>
      </c>
      <c r="D4" s="4">
        <v>5.6000000000000001E-2</v>
      </c>
      <c r="E4" s="4">
        <v>5.6000000000000001E-2</v>
      </c>
      <c r="F4" s="4">
        <v>5.3999999999999999E-2</v>
      </c>
      <c r="G4" s="4">
        <v>5.5E-2</v>
      </c>
      <c r="H4" s="4">
        <v>5.6000000000000001E-2</v>
      </c>
      <c r="I4" s="4">
        <v>5.1999999999999998E-2</v>
      </c>
      <c r="J4" s="4">
        <v>5.3999999999999999E-2</v>
      </c>
      <c r="K4" s="4">
        <v>5.5E-2</v>
      </c>
      <c r="L4" s="4">
        <v>5.5E-2</v>
      </c>
      <c r="M4" s="4">
        <v>5.3999999999999999E-2</v>
      </c>
      <c r="N4" s="3">
        <v>670</v>
      </c>
    </row>
    <row r="5" spans="1:14" x14ac:dyDescent="0.25">
      <c r="A5" s="2" t="s">
        <v>1</v>
      </c>
      <c r="B5" s="4">
        <v>0.123</v>
      </c>
      <c r="C5" s="4">
        <v>0.14799999999999999</v>
      </c>
      <c r="D5" s="4">
        <v>0.123</v>
      </c>
      <c r="E5" s="4">
        <v>5.3999999999999999E-2</v>
      </c>
      <c r="F5" s="4">
        <v>5.6000000000000001E-2</v>
      </c>
      <c r="G5" s="4">
        <v>5.5E-2</v>
      </c>
      <c r="H5" s="4">
        <v>5.2999999999999999E-2</v>
      </c>
      <c r="I5" s="4">
        <v>5.0999999999999997E-2</v>
      </c>
      <c r="J5" s="4">
        <v>5.1999999999999998E-2</v>
      </c>
      <c r="K5" s="4">
        <v>5.6000000000000001E-2</v>
      </c>
      <c r="L5" s="4">
        <v>5.6000000000000001E-2</v>
      </c>
      <c r="M5" s="4">
        <v>5.5E-2</v>
      </c>
      <c r="N5" s="3">
        <v>670</v>
      </c>
    </row>
    <row r="6" spans="1:14" x14ac:dyDescent="0.25">
      <c r="A6" s="2" t="s">
        <v>2</v>
      </c>
      <c r="B6" s="4">
        <v>0.248</v>
      </c>
      <c r="C6" s="4">
        <v>0.23100000000000001</v>
      </c>
      <c r="D6" s="4">
        <v>0.22900000000000001</v>
      </c>
      <c r="E6" s="4">
        <v>5.7000000000000002E-2</v>
      </c>
      <c r="F6" s="4">
        <v>5.8999999999999997E-2</v>
      </c>
      <c r="G6" s="4">
        <v>5.7000000000000002E-2</v>
      </c>
      <c r="H6" s="4">
        <v>5.1999999999999998E-2</v>
      </c>
      <c r="I6" s="4">
        <v>5.6000000000000001E-2</v>
      </c>
      <c r="J6" s="4">
        <v>5.5E-2</v>
      </c>
      <c r="K6" s="4">
        <v>5.5E-2</v>
      </c>
      <c r="L6" s="4">
        <v>5.2999999999999999E-2</v>
      </c>
      <c r="M6" s="4">
        <v>5.6000000000000001E-2</v>
      </c>
      <c r="N6" s="3">
        <v>670</v>
      </c>
    </row>
    <row r="7" spans="1:14" x14ac:dyDescent="0.25">
      <c r="A7" s="2" t="s">
        <v>3</v>
      </c>
      <c r="B7" s="4">
        <v>0.41</v>
      </c>
      <c r="C7" s="4">
        <v>0.40200000000000002</v>
      </c>
      <c r="D7" s="4">
        <v>0.43099999999999999</v>
      </c>
      <c r="E7" s="4">
        <v>5.8000000000000003E-2</v>
      </c>
      <c r="F7" s="4">
        <v>5.2999999999999999E-2</v>
      </c>
      <c r="G7" s="4">
        <v>5.3999999999999999E-2</v>
      </c>
      <c r="H7" s="4">
        <v>5.5E-2</v>
      </c>
      <c r="I7" s="4">
        <v>5.5E-2</v>
      </c>
      <c r="J7" s="4">
        <v>5.3999999999999999E-2</v>
      </c>
      <c r="K7" s="4">
        <v>5.1999999999999998E-2</v>
      </c>
      <c r="L7" s="4">
        <v>5.2999999999999999E-2</v>
      </c>
      <c r="M7" s="4">
        <v>5.1999999999999998E-2</v>
      </c>
      <c r="N7" s="3">
        <v>670</v>
      </c>
    </row>
    <row r="8" spans="1:14" x14ac:dyDescent="0.25">
      <c r="A8" s="2" t="s">
        <v>4</v>
      </c>
      <c r="B8" s="4">
        <v>0.77800000000000002</v>
      </c>
      <c r="C8" s="4">
        <v>0.73099999999999998</v>
      </c>
      <c r="D8" s="4">
        <v>0.81499999999999995</v>
      </c>
      <c r="E8" s="4">
        <v>0.06</v>
      </c>
      <c r="F8" s="4">
        <v>5.3999999999999999E-2</v>
      </c>
      <c r="G8" s="4">
        <v>5.0999999999999997E-2</v>
      </c>
      <c r="H8" s="4">
        <v>5.1999999999999998E-2</v>
      </c>
      <c r="I8" s="4">
        <v>5.3999999999999999E-2</v>
      </c>
      <c r="J8" s="4">
        <v>5.5E-2</v>
      </c>
      <c r="K8" s="4">
        <v>5.1999999999999998E-2</v>
      </c>
      <c r="L8" s="4">
        <v>5.3999999999999999E-2</v>
      </c>
      <c r="M8" s="4">
        <v>5.5E-2</v>
      </c>
      <c r="N8" s="3">
        <v>670</v>
      </c>
    </row>
    <row r="9" spans="1:14" x14ac:dyDescent="0.25">
      <c r="A9" s="2" t="s">
        <v>5</v>
      </c>
      <c r="B9" s="4">
        <v>1.252</v>
      </c>
      <c r="C9" s="4">
        <v>1.2729999999999999</v>
      </c>
      <c r="D9" s="4">
        <v>1.274</v>
      </c>
      <c r="E9" s="4">
        <v>5.3999999999999999E-2</v>
      </c>
      <c r="F9" s="4">
        <v>5.2999999999999999E-2</v>
      </c>
      <c r="G9" s="4">
        <v>5.5E-2</v>
      </c>
      <c r="H9" s="4">
        <v>5.2999999999999999E-2</v>
      </c>
      <c r="I9" s="4">
        <v>5.3999999999999999E-2</v>
      </c>
      <c r="J9" s="4">
        <v>5.1999999999999998E-2</v>
      </c>
      <c r="K9" s="4">
        <v>5.6000000000000001E-2</v>
      </c>
      <c r="L9" s="4">
        <v>5.6000000000000001E-2</v>
      </c>
      <c r="M9" s="4">
        <v>5.3999999999999999E-2</v>
      </c>
      <c r="N9" s="3">
        <v>670</v>
      </c>
    </row>
    <row r="10" spans="1:14" x14ac:dyDescent="0.25">
      <c r="A10" s="2" t="s">
        <v>6</v>
      </c>
      <c r="B10" s="4">
        <v>1.3320000000000001</v>
      </c>
      <c r="C10" s="4">
        <v>1.212</v>
      </c>
      <c r="D10" s="4">
        <v>1.258</v>
      </c>
      <c r="E10" s="4">
        <v>5.3999999999999999E-2</v>
      </c>
      <c r="F10" s="4">
        <v>5.5E-2</v>
      </c>
      <c r="G10" s="4">
        <v>5.1999999999999998E-2</v>
      </c>
      <c r="H10" s="4">
        <v>5.2999999999999999E-2</v>
      </c>
      <c r="I10" s="4">
        <v>5.2999999999999999E-2</v>
      </c>
      <c r="J10" s="4">
        <v>5.3999999999999999E-2</v>
      </c>
      <c r="K10" s="4">
        <v>5.3999999999999999E-2</v>
      </c>
      <c r="L10" s="4">
        <v>5.7000000000000002E-2</v>
      </c>
      <c r="M10" s="4">
        <v>5.5E-2</v>
      </c>
      <c r="N10" s="3">
        <v>670</v>
      </c>
    </row>
    <row r="11" spans="1:14" x14ac:dyDescent="0.25">
      <c r="A11" s="2" t="s">
        <v>7</v>
      </c>
      <c r="B11" s="4">
        <v>1.3009999999999999</v>
      </c>
      <c r="C11" s="4">
        <v>1.3859999999999999</v>
      </c>
      <c r="D11" s="4">
        <v>1.282</v>
      </c>
      <c r="E11" s="4">
        <v>5.6000000000000001E-2</v>
      </c>
      <c r="F11" s="4">
        <v>5.6000000000000001E-2</v>
      </c>
      <c r="G11" s="4">
        <v>5.3999999999999999E-2</v>
      </c>
      <c r="H11" s="4">
        <v>0.36499999999999999</v>
      </c>
      <c r="I11" s="4">
        <v>0.441</v>
      </c>
      <c r="J11" s="4">
        <v>0.41899999999999998</v>
      </c>
      <c r="K11" s="4">
        <v>5.3999999999999999E-2</v>
      </c>
      <c r="L11" s="4">
        <v>5.3999999999999999E-2</v>
      </c>
      <c r="M11" s="4">
        <v>5.6000000000000001E-2</v>
      </c>
      <c r="N11" s="3">
        <v>670</v>
      </c>
    </row>
    <row r="15" spans="1:14" x14ac:dyDescent="0.25">
      <c r="A15" s="1" t="s">
        <v>23</v>
      </c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4" ht="38.25" x14ac:dyDescent="0.25">
      <c r="A16" s="2" t="s">
        <v>0</v>
      </c>
      <c r="B16" s="4" t="s">
        <v>24</v>
      </c>
      <c r="C16" s="4" t="s">
        <v>24</v>
      </c>
      <c r="D16" s="4" t="s">
        <v>24</v>
      </c>
      <c r="E16" s="4" t="s">
        <v>56</v>
      </c>
      <c r="F16" s="4" t="s">
        <v>56</v>
      </c>
      <c r="G16" s="4" t="s">
        <v>56</v>
      </c>
      <c r="H16" s="4" t="s">
        <v>65</v>
      </c>
      <c r="I16" s="4" t="s">
        <v>65</v>
      </c>
      <c r="J16" s="4" t="s">
        <v>65</v>
      </c>
      <c r="K16" s="4" t="s">
        <v>73</v>
      </c>
      <c r="L16" s="4" t="s">
        <v>73</v>
      </c>
      <c r="M16" s="4" t="s">
        <v>82</v>
      </c>
    </row>
    <row r="17" spans="1:13" ht="38.25" x14ac:dyDescent="0.25">
      <c r="A17" s="2" t="s">
        <v>1</v>
      </c>
      <c r="B17" s="4" t="s">
        <v>25</v>
      </c>
      <c r="C17" s="4" t="s">
        <v>25</v>
      </c>
      <c r="D17" s="4" t="s">
        <v>25</v>
      </c>
      <c r="E17" s="4" t="s">
        <v>57</v>
      </c>
      <c r="F17" s="4" t="s">
        <v>57</v>
      </c>
      <c r="G17" s="4" t="s">
        <v>57</v>
      </c>
      <c r="H17" s="4" t="s">
        <v>66</v>
      </c>
      <c r="I17" s="4" t="s">
        <v>66</v>
      </c>
      <c r="J17" s="4" t="s">
        <v>66</v>
      </c>
      <c r="K17" s="4" t="s">
        <v>74</v>
      </c>
      <c r="L17" s="4" t="s">
        <v>74</v>
      </c>
      <c r="M17" s="4" t="s">
        <v>74</v>
      </c>
    </row>
    <row r="18" spans="1:13" ht="38.25" x14ac:dyDescent="0.25">
      <c r="A18" s="2" t="s">
        <v>2</v>
      </c>
      <c r="B18" s="4" t="s">
        <v>26</v>
      </c>
      <c r="C18" s="4" t="s">
        <v>26</v>
      </c>
      <c r="D18" s="4" t="s">
        <v>26</v>
      </c>
      <c r="E18" s="4" t="s">
        <v>58</v>
      </c>
      <c r="F18" s="4" t="s">
        <v>58</v>
      </c>
      <c r="G18" s="4" t="s">
        <v>58</v>
      </c>
      <c r="H18" s="4" t="s">
        <v>67</v>
      </c>
      <c r="I18" s="4" t="s">
        <v>67</v>
      </c>
      <c r="J18" s="4" t="s">
        <v>67</v>
      </c>
      <c r="K18" s="4" t="s">
        <v>75</v>
      </c>
      <c r="L18" s="4" t="s">
        <v>75</v>
      </c>
      <c r="M18" s="4" t="s">
        <v>75</v>
      </c>
    </row>
    <row r="19" spans="1:13" ht="38.25" x14ac:dyDescent="0.25">
      <c r="A19" s="2" t="s">
        <v>3</v>
      </c>
      <c r="B19" s="4" t="s">
        <v>27</v>
      </c>
      <c r="C19" s="4" t="s">
        <v>27</v>
      </c>
      <c r="D19" s="4" t="s">
        <v>27</v>
      </c>
      <c r="E19" s="4" t="s">
        <v>59</v>
      </c>
      <c r="F19" s="4" t="s">
        <v>59</v>
      </c>
      <c r="G19" s="4" t="s">
        <v>59</v>
      </c>
      <c r="H19" s="4" t="s">
        <v>68</v>
      </c>
      <c r="I19" s="4" t="s">
        <v>68</v>
      </c>
      <c r="J19" s="4" t="s">
        <v>68</v>
      </c>
      <c r="K19" s="4" t="s">
        <v>76</v>
      </c>
      <c r="L19" s="4" t="s">
        <v>76</v>
      </c>
      <c r="M19" s="4" t="s">
        <v>76</v>
      </c>
    </row>
    <row r="20" spans="1:13" ht="38.25" x14ac:dyDescent="0.25">
      <c r="A20" s="2" t="s">
        <v>4</v>
      </c>
      <c r="B20" s="4" t="s">
        <v>28</v>
      </c>
      <c r="C20" s="4" t="s">
        <v>28</v>
      </c>
      <c r="D20" s="4" t="s">
        <v>28</v>
      </c>
      <c r="E20" s="4" t="s">
        <v>60</v>
      </c>
      <c r="F20" s="4" t="s">
        <v>60</v>
      </c>
      <c r="G20" s="4" t="s">
        <v>60</v>
      </c>
      <c r="H20" s="4" t="s">
        <v>69</v>
      </c>
      <c r="I20" s="4" t="s">
        <v>69</v>
      </c>
      <c r="J20" s="4" t="s">
        <v>69</v>
      </c>
      <c r="K20" s="4" t="s">
        <v>77</v>
      </c>
      <c r="L20" s="4" t="s">
        <v>77</v>
      </c>
      <c r="M20" s="4" t="s">
        <v>77</v>
      </c>
    </row>
    <row r="21" spans="1:13" ht="38.25" x14ac:dyDescent="0.25">
      <c r="A21" s="2" t="s">
        <v>5</v>
      </c>
      <c r="B21" s="4" t="s">
        <v>29</v>
      </c>
      <c r="C21" s="4" t="s">
        <v>29</v>
      </c>
      <c r="D21" s="4" t="s">
        <v>29</v>
      </c>
      <c r="E21" s="4" t="s">
        <v>63</v>
      </c>
      <c r="F21" s="4" t="s">
        <v>63</v>
      </c>
      <c r="G21" s="4" t="s">
        <v>63</v>
      </c>
      <c r="H21" s="4" t="s">
        <v>70</v>
      </c>
      <c r="I21" s="4" t="s">
        <v>70</v>
      </c>
      <c r="J21" s="4" t="s">
        <v>70</v>
      </c>
      <c r="K21" s="4" t="s">
        <v>78</v>
      </c>
      <c r="L21" s="4" t="s">
        <v>78</v>
      </c>
      <c r="M21" s="4" t="s">
        <v>83</v>
      </c>
    </row>
    <row r="22" spans="1:13" ht="38.25" x14ac:dyDescent="0.25">
      <c r="A22" s="2" t="s">
        <v>6</v>
      </c>
      <c r="B22" s="4" t="s">
        <v>30</v>
      </c>
      <c r="C22" s="4" t="s">
        <v>30</v>
      </c>
      <c r="D22" s="4" t="s">
        <v>30</v>
      </c>
      <c r="E22" s="4" t="s">
        <v>61</v>
      </c>
      <c r="F22" s="4" t="s">
        <v>61</v>
      </c>
      <c r="G22" s="4" t="s">
        <v>61</v>
      </c>
      <c r="H22" s="4" t="s">
        <v>71</v>
      </c>
      <c r="I22" s="4" t="s">
        <v>71</v>
      </c>
      <c r="J22" s="4" t="s">
        <v>71</v>
      </c>
      <c r="K22" s="4" t="s">
        <v>79</v>
      </c>
      <c r="L22" s="4" t="s">
        <v>79</v>
      </c>
      <c r="M22" s="4" t="s">
        <v>84</v>
      </c>
    </row>
    <row r="23" spans="1:13" ht="38.25" x14ac:dyDescent="0.25">
      <c r="A23" s="2" t="s">
        <v>7</v>
      </c>
      <c r="B23" s="4" t="s">
        <v>31</v>
      </c>
      <c r="C23" s="4" t="s">
        <v>31</v>
      </c>
      <c r="D23" s="4" t="s">
        <v>31</v>
      </c>
      <c r="E23" s="4" t="s">
        <v>64</v>
      </c>
      <c r="F23" s="4" t="s">
        <v>64</v>
      </c>
      <c r="G23" s="4" t="s">
        <v>64</v>
      </c>
      <c r="H23" s="4" t="s">
        <v>72</v>
      </c>
      <c r="I23" s="4" t="s">
        <v>72</v>
      </c>
      <c r="J23" s="4" t="s">
        <v>72</v>
      </c>
      <c r="K23" s="4" t="s">
        <v>80</v>
      </c>
      <c r="L23" s="4" t="s">
        <v>80</v>
      </c>
      <c r="M23" s="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F4E6-2BC7-4F8D-97B2-8C40592F78E1}">
  <dimension ref="A3:N23"/>
  <sheetViews>
    <sheetView topLeftCell="A13" workbookViewId="0">
      <selection activeCell="E13" sqref="E1:N1048576"/>
    </sheetView>
  </sheetViews>
  <sheetFormatPr defaultRowHeight="15" x14ac:dyDescent="0.25"/>
  <cols>
    <col min="5" max="14" width="32" customWidth="1"/>
  </cols>
  <sheetData>
    <row r="3" spans="1:14" x14ac:dyDescent="0.25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25">
      <c r="A4" s="2" t="s">
        <v>0</v>
      </c>
      <c r="B4" s="4">
        <v>4.8000000000000001E-2</v>
      </c>
      <c r="C4" s="4">
        <v>5.1999999999999998E-2</v>
      </c>
      <c r="D4" s="4">
        <v>5.0999999999999997E-2</v>
      </c>
      <c r="E4" s="4">
        <v>5.0999999999999997E-2</v>
      </c>
      <c r="F4" s="4">
        <v>5.3999999999999999E-2</v>
      </c>
      <c r="G4" s="4">
        <v>5.1999999999999998E-2</v>
      </c>
      <c r="H4" s="4">
        <v>5.5E-2</v>
      </c>
      <c r="I4" s="4">
        <v>0.05</v>
      </c>
      <c r="J4" s="4">
        <v>5.1999999999999998E-2</v>
      </c>
      <c r="K4" s="4">
        <v>5.1999999999999998E-2</v>
      </c>
      <c r="L4" s="4">
        <v>5.1999999999999998E-2</v>
      </c>
      <c r="M4" s="4">
        <v>5.3999999999999999E-2</v>
      </c>
      <c r="N4" s="3">
        <v>670</v>
      </c>
    </row>
    <row r="5" spans="1:14" x14ac:dyDescent="0.25">
      <c r="A5" s="2" t="s">
        <v>1</v>
      </c>
      <c r="B5" s="4">
        <v>0.11799999999999999</v>
      </c>
      <c r="C5" s="4">
        <v>0.13200000000000001</v>
      </c>
      <c r="D5" s="4">
        <v>0.153</v>
      </c>
      <c r="E5" s="4">
        <v>0.05</v>
      </c>
      <c r="F5" s="4">
        <v>5.2999999999999999E-2</v>
      </c>
      <c r="G5" s="4">
        <v>5.2999999999999999E-2</v>
      </c>
      <c r="H5" s="4">
        <v>5.6000000000000001E-2</v>
      </c>
      <c r="I5" s="4">
        <v>5.3999999999999999E-2</v>
      </c>
      <c r="J5" s="4">
        <v>5.0999999999999997E-2</v>
      </c>
      <c r="K5" s="4">
        <v>5.2999999999999999E-2</v>
      </c>
      <c r="L5" s="4">
        <v>5.1999999999999998E-2</v>
      </c>
      <c r="M5" s="4">
        <v>5.2999999999999999E-2</v>
      </c>
      <c r="N5" s="3">
        <v>670</v>
      </c>
    </row>
    <row r="6" spans="1:14" x14ac:dyDescent="0.25">
      <c r="A6" s="2" t="s">
        <v>2</v>
      </c>
      <c r="B6" s="4">
        <v>0.22900000000000001</v>
      </c>
      <c r="C6" s="4">
        <v>0.23799999999999999</v>
      </c>
      <c r="D6" s="4">
        <v>0.27500000000000002</v>
      </c>
      <c r="E6" s="4">
        <v>0.32500000000000001</v>
      </c>
      <c r="F6" s="4">
        <v>0.11</v>
      </c>
      <c r="G6" s="4">
        <v>0.29699999999999999</v>
      </c>
      <c r="H6" s="4">
        <v>4.9000000000000002E-2</v>
      </c>
      <c r="I6" s="4">
        <v>5.1999999999999998E-2</v>
      </c>
      <c r="J6" s="4">
        <v>5.3999999999999999E-2</v>
      </c>
      <c r="K6" s="4">
        <v>5.2999999999999999E-2</v>
      </c>
      <c r="L6" s="4">
        <v>5.3999999999999999E-2</v>
      </c>
      <c r="M6" s="4">
        <v>5.3999999999999999E-2</v>
      </c>
      <c r="N6" s="3">
        <v>670</v>
      </c>
    </row>
    <row r="7" spans="1:14" x14ac:dyDescent="0.25">
      <c r="A7" s="2" t="s">
        <v>3</v>
      </c>
      <c r="B7" s="4">
        <v>0.44800000000000001</v>
      </c>
      <c r="C7" s="4">
        <v>0.42599999999999999</v>
      </c>
      <c r="D7" s="4">
        <v>0.45400000000000001</v>
      </c>
      <c r="E7" s="4">
        <v>5.2999999999999999E-2</v>
      </c>
      <c r="F7" s="4">
        <v>5.0999999999999997E-2</v>
      </c>
      <c r="G7" s="4">
        <v>5.1999999999999998E-2</v>
      </c>
      <c r="H7" s="4">
        <v>5.0999999999999997E-2</v>
      </c>
      <c r="I7" s="4">
        <v>5.0999999999999997E-2</v>
      </c>
      <c r="J7" s="4">
        <v>5.2999999999999999E-2</v>
      </c>
      <c r="K7" s="4">
        <v>5.1999999999999998E-2</v>
      </c>
      <c r="L7" s="4">
        <v>5.1999999999999998E-2</v>
      </c>
      <c r="M7" s="4">
        <v>5.1999999999999998E-2</v>
      </c>
      <c r="N7" s="3">
        <v>670</v>
      </c>
    </row>
    <row r="8" spans="1:14" x14ac:dyDescent="0.25">
      <c r="A8" s="2" t="s">
        <v>4</v>
      </c>
      <c r="B8" s="4">
        <v>0.82099999999999995</v>
      </c>
      <c r="C8" s="4">
        <v>0.79600000000000004</v>
      </c>
      <c r="D8" s="4">
        <v>0.77</v>
      </c>
      <c r="E8" s="4">
        <v>5.0999999999999997E-2</v>
      </c>
      <c r="F8" s="4">
        <v>5.0999999999999997E-2</v>
      </c>
      <c r="G8" s="4">
        <v>5.3999999999999999E-2</v>
      </c>
      <c r="H8" s="4">
        <v>0.08</v>
      </c>
      <c r="I8" s="4">
        <v>5.1999999999999998E-2</v>
      </c>
      <c r="J8" s="4">
        <v>5.3999999999999999E-2</v>
      </c>
      <c r="K8" s="4">
        <v>5.6000000000000001E-2</v>
      </c>
      <c r="L8" s="4">
        <v>5.1999999999999998E-2</v>
      </c>
      <c r="M8" s="4">
        <v>5.1999999999999998E-2</v>
      </c>
      <c r="N8" s="3">
        <v>670</v>
      </c>
    </row>
    <row r="9" spans="1:14" x14ac:dyDescent="0.25">
      <c r="A9" s="2" t="s">
        <v>5</v>
      </c>
      <c r="B9" s="4">
        <v>1.3360000000000001</v>
      </c>
      <c r="C9" s="4">
        <v>1.343</v>
      </c>
      <c r="D9" s="4">
        <v>1.3720000000000001</v>
      </c>
      <c r="E9" s="4">
        <v>5.1999999999999998E-2</v>
      </c>
      <c r="F9" s="4">
        <v>5.2999999999999999E-2</v>
      </c>
      <c r="G9" s="4">
        <v>5.1999999999999998E-2</v>
      </c>
      <c r="H9" s="4">
        <v>0.05</v>
      </c>
      <c r="I9" s="4">
        <v>5.0999999999999997E-2</v>
      </c>
      <c r="J9" s="4">
        <v>5.3999999999999999E-2</v>
      </c>
      <c r="K9" s="4">
        <v>5.3999999999999999E-2</v>
      </c>
      <c r="L9" s="4">
        <v>5.2999999999999999E-2</v>
      </c>
      <c r="M9" s="4">
        <v>5.1999999999999998E-2</v>
      </c>
      <c r="N9" s="3">
        <v>670</v>
      </c>
    </row>
    <row r="10" spans="1:14" x14ac:dyDescent="0.25">
      <c r="A10" s="2" t="s">
        <v>6</v>
      </c>
      <c r="B10" s="4">
        <v>1.2769999999999999</v>
      </c>
      <c r="C10" s="4">
        <v>1.2350000000000001</v>
      </c>
      <c r="D10" s="4">
        <v>1.2090000000000001</v>
      </c>
      <c r="E10" s="4">
        <v>5.0999999999999997E-2</v>
      </c>
      <c r="F10" s="4">
        <v>5.3999999999999999E-2</v>
      </c>
      <c r="G10" s="4">
        <v>5.1999999999999998E-2</v>
      </c>
      <c r="H10" s="4">
        <v>5.3999999999999999E-2</v>
      </c>
      <c r="I10" s="4">
        <v>5.3999999999999999E-2</v>
      </c>
      <c r="J10" s="4">
        <v>5.3999999999999999E-2</v>
      </c>
      <c r="K10" s="4">
        <v>5.0999999999999997E-2</v>
      </c>
      <c r="L10" s="4">
        <v>5.3999999999999999E-2</v>
      </c>
      <c r="M10" s="4">
        <v>5.3999999999999999E-2</v>
      </c>
      <c r="N10" s="3">
        <v>670</v>
      </c>
    </row>
    <row r="11" spans="1:14" x14ac:dyDescent="0.25">
      <c r="A11" s="2" t="s">
        <v>7</v>
      </c>
      <c r="B11" s="4">
        <v>1.353</v>
      </c>
      <c r="C11" s="4">
        <v>1.248</v>
      </c>
      <c r="D11" s="4">
        <v>1.3180000000000001</v>
      </c>
      <c r="E11" s="4">
        <v>4.7E-2</v>
      </c>
      <c r="F11" s="4">
        <v>0.05</v>
      </c>
      <c r="G11" s="4">
        <v>5.1999999999999998E-2</v>
      </c>
      <c r="H11" s="4">
        <v>0.443</v>
      </c>
      <c r="I11" s="4">
        <v>0.309</v>
      </c>
      <c r="J11" s="4">
        <v>0.56299999999999994</v>
      </c>
      <c r="K11" s="4">
        <v>5.1999999999999998E-2</v>
      </c>
      <c r="L11" s="4">
        <v>5.2999999999999999E-2</v>
      </c>
      <c r="M11" s="4">
        <v>5.0999999999999997E-2</v>
      </c>
      <c r="N11" s="3">
        <v>670</v>
      </c>
    </row>
    <row r="15" spans="1:14" x14ac:dyDescent="0.25">
      <c r="A15" s="1" t="s">
        <v>23</v>
      </c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4" ht="38.25" x14ac:dyDescent="0.25">
      <c r="A16" s="2" t="s">
        <v>0</v>
      </c>
      <c r="B16" s="4" t="s">
        <v>24</v>
      </c>
      <c r="C16" s="4" t="s">
        <v>24</v>
      </c>
      <c r="D16" s="4" t="s">
        <v>24</v>
      </c>
      <c r="E16" s="4" t="s">
        <v>86</v>
      </c>
      <c r="F16" s="4" t="s">
        <v>86</v>
      </c>
      <c r="G16" s="4" t="s">
        <v>86</v>
      </c>
      <c r="H16" s="4" t="s">
        <v>93</v>
      </c>
      <c r="I16" s="4" t="s">
        <v>93</v>
      </c>
      <c r="J16" s="4" t="s">
        <v>93</v>
      </c>
      <c r="K16" s="4" t="s">
        <v>101</v>
      </c>
      <c r="L16" s="4" t="s">
        <v>101</v>
      </c>
      <c r="M16" s="4" t="s">
        <v>101</v>
      </c>
    </row>
    <row r="17" spans="1:13" ht="38.25" x14ac:dyDescent="0.25">
      <c r="A17" s="2" t="s">
        <v>1</v>
      </c>
      <c r="B17" s="4" t="s">
        <v>25</v>
      </c>
      <c r="C17" s="4" t="s">
        <v>25</v>
      </c>
      <c r="D17" s="4" t="s">
        <v>25</v>
      </c>
      <c r="E17" s="4" t="s">
        <v>87</v>
      </c>
      <c r="F17" s="4" t="s">
        <v>87</v>
      </c>
      <c r="G17" s="4" t="s">
        <v>87</v>
      </c>
      <c r="H17" s="4" t="s">
        <v>94</v>
      </c>
      <c r="I17" s="4" t="s">
        <v>94</v>
      </c>
      <c r="J17" s="4" t="s">
        <v>94</v>
      </c>
      <c r="K17" s="4" t="s">
        <v>102</v>
      </c>
      <c r="L17" s="4" t="s">
        <v>102</v>
      </c>
      <c r="M17" s="4" t="s">
        <v>102</v>
      </c>
    </row>
    <row r="18" spans="1:13" ht="38.25" x14ac:dyDescent="0.25">
      <c r="A18" s="2" t="s">
        <v>2</v>
      </c>
      <c r="B18" s="4" t="s">
        <v>26</v>
      </c>
      <c r="C18" s="4" t="s">
        <v>26</v>
      </c>
      <c r="D18" s="4" t="s">
        <v>26</v>
      </c>
      <c r="E18" s="4" t="s">
        <v>81</v>
      </c>
      <c r="F18" s="4" t="s">
        <v>81</v>
      </c>
      <c r="G18" s="4" t="s">
        <v>81</v>
      </c>
      <c r="H18" s="4" t="s">
        <v>95</v>
      </c>
      <c r="I18" s="4" t="s">
        <v>95</v>
      </c>
      <c r="J18" s="4" t="s">
        <v>95</v>
      </c>
      <c r="K18" s="4" t="s">
        <v>103</v>
      </c>
      <c r="L18" s="4" t="s">
        <v>103</v>
      </c>
      <c r="M18" s="4" t="s">
        <v>103</v>
      </c>
    </row>
    <row r="19" spans="1:13" ht="38.25" x14ac:dyDescent="0.25">
      <c r="A19" s="2" t="s">
        <v>3</v>
      </c>
      <c r="B19" s="4" t="s">
        <v>27</v>
      </c>
      <c r="C19" s="4" t="s">
        <v>27</v>
      </c>
      <c r="D19" s="4" t="s">
        <v>27</v>
      </c>
      <c r="E19" s="4" t="s">
        <v>88</v>
      </c>
      <c r="F19" s="4" t="s">
        <v>88</v>
      </c>
      <c r="G19" s="4" t="s">
        <v>88</v>
      </c>
      <c r="H19" s="4" t="s">
        <v>96</v>
      </c>
      <c r="I19" s="4" t="s">
        <v>96</v>
      </c>
      <c r="J19" s="4" t="s">
        <v>96</v>
      </c>
      <c r="K19" s="4" t="s">
        <v>104</v>
      </c>
      <c r="L19" s="4" t="s">
        <v>104</v>
      </c>
      <c r="M19" s="4" t="s">
        <v>104</v>
      </c>
    </row>
    <row r="20" spans="1:13" ht="38.25" x14ac:dyDescent="0.25">
      <c r="A20" s="2" t="s">
        <v>4</v>
      </c>
      <c r="B20" s="4" t="s">
        <v>28</v>
      </c>
      <c r="C20" s="4" t="s">
        <v>28</v>
      </c>
      <c r="D20" s="4" t="s">
        <v>28</v>
      </c>
      <c r="E20" s="4" t="s">
        <v>89</v>
      </c>
      <c r="F20" s="4" t="s">
        <v>89</v>
      </c>
      <c r="G20" s="4" t="s">
        <v>89</v>
      </c>
      <c r="H20" s="4" t="s">
        <v>97</v>
      </c>
      <c r="I20" s="4" t="s">
        <v>97</v>
      </c>
      <c r="J20" s="4" t="s">
        <v>97</v>
      </c>
      <c r="K20" s="4" t="s">
        <v>105</v>
      </c>
      <c r="L20" s="4" t="s">
        <v>105</v>
      </c>
      <c r="M20" s="4" t="s">
        <v>105</v>
      </c>
    </row>
    <row r="21" spans="1:13" ht="38.25" x14ac:dyDescent="0.25">
      <c r="A21" s="2" t="s">
        <v>5</v>
      </c>
      <c r="B21" s="4" t="s">
        <v>29</v>
      </c>
      <c r="C21" s="4" t="s">
        <v>29</v>
      </c>
      <c r="D21" s="4" t="s">
        <v>29</v>
      </c>
      <c r="E21" s="6" t="s">
        <v>91</v>
      </c>
      <c r="F21" s="6" t="s">
        <v>91</v>
      </c>
      <c r="G21" s="6" t="s">
        <v>91</v>
      </c>
      <c r="H21" s="4" t="s">
        <v>98</v>
      </c>
      <c r="I21" s="4" t="s">
        <v>98</v>
      </c>
      <c r="J21" s="4" t="s">
        <v>98</v>
      </c>
      <c r="K21" s="4" t="s">
        <v>106</v>
      </c>
      <c r="L21" s="4" t="s">
        <v>106</v>
      </c>
      <c r="M21" s="4" t="s">
        <v>106</v>
      </c>
    </row>
    <row r="22" spans="1:13" ht="38.25" x14ac:dyDescent="0.25">
      <c r="A22" s="2" t="s">
        <v>6</v>
      </c>
      <c r="B22" s="4" t="s">
        <v>30</v>
      </c>
      <c r="C22" s="4" t="s">
        <v>30</v>
      </c>
      <c r="D22" s="4" t="s">
        <v>30</v>
      </c>
      <c r="E22" s="4" t="s">
        <v>90</v>
      </c>
      <c r="F22" s="4" t="s">
        <v>90</v>
      </c>
      <c r="G22" s="4" t="s">
        <v>90</v>
      </c>
      <c r="H22" s="4" t="s">
        <v>99</v>
      </c>
      <c r="I22" s="4" t="s">
        <v>99</v>
      </c>
      <c r="J22" s="4" t="s">
        <v>99</v>
      </c>
      <c r="K22" s="4" t="s">
        <v>107</v>
      </c>
      <c r="L22" s="4" t="s">
        <v>107</v>
      </c>
      <c r="M22" s="4" t="s">
        <v>107</v>
      </c>
    </row>
    <row r="23" spans="1:13" ht="38.25" x14ac:dyDescent="0.25">
      <c r="A23" s="2" t="s">
        <v>7</v>
      </c>
      <c r="B23" s="4" t="s">
        <v>31</v>
      </c>
      <c r="C23" s="4" t="s">
        <v>31</v>
      </c>
      <c r="D23" s="4" t="s">
        <v>31</v>
      </c>
      <c r="E23" s="4" t="s">
        <v>92</v>
      </c>
      <c r="F23" s="4" t="s">
        <v>92</v>
      </c>
      <c r="G23" s="4" t="s">
        <v>92</v>
      </c>
      <c r="H23" s="4" t="s">
        <v>100</v>
      </c>
      <c r="I23" s="4" t="s">
        <v>100</v>
      </c>
      <c r="J23" s="4" t="s">
        <v>100</v>
      </c>
      <c r="K23" s="4" t="s">
        <v>108</v>
      </c>
      <c r="L23" s="4" t="s">
        <v>108</v>
      </c>
      <c r="M23" s="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 Check</vt:lpstr>
      <vt:lpstr>Plate 1</vt:lpstr>
      <vt:lpstr>Plate 2</vt:lpstr>
      <vt:lpstr>Plate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Read, Zoe</cp:lastModifiedBy>
  <dcterms:created xsi:type="dcterms:W3CDTF">2024-06-24T16:55:23Z</dcterms:created>
  <dcterms:modified xsi:type="dcterms:W3CDTF">2026-05-11T17:15:51Z</dcterms:modified>
</cp:coreProperties>
</file>