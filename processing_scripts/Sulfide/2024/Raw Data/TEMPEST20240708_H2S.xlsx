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amontg35_sundevils_asu_edu/Documents/Data/TEMPEST/Porewater/01_RawMicroplateData/"/>
    </mc:Choice>
  </mc:AlternateContent>
  <xr:revisionPtr revIDLastSave="14" documentId="13_ncr:1_{636099FF-8FA6-4738-89E3-C6BD92A401DD}" xr6:coauthVersionLast="47" xr6:coauthVersionMax="47" xr10:uidLastSave="{64A7357A-017A-4EE8-BF7D-2739E50FE574}"/>
  <bookViews>
    <workbookView xWindow="-110" yWindow="-110" windowWidth="19420" windowHeight="10300" activeTab="3" xr2:uid="{217D31C7-3677-45E3-B772-062F6D24D7E9}"/>
  </bookViews>
  <sheets>
    <sheet name="Lab Check" sheetId="1" r:id="rId1"/>
    <sheet name="Plate 1" sheetId="2" r:id="rId2"/>
    <sheet name="Plate 2" sheetId="3" r:id="rId3"/>
    <sheet name="Plate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5" i="1"/>
  <c r="R7" i="1"/>
  <c r="C7" i="1" l="1"/>
  <c r="R8" i="1" l="1"/>
  <c r="R4" i="1"/>
  <c r="R3" i="1"/>
  <c r="K7" i="1"/>
  <c r="K8" i="1"/>
  <c r="K6" i="1"/>
  <c r="K5" i="1"/>
  <c r="K4" i="1"/>
  <c r="K3" i="1"/>
  <c r="C4" i="1"/>
  <c r="C5" i="1"/>
  <c r="C6" i="1"/>
  <c r="C8" i="1"/>
  <c r="C3" i="1"/>
</calcChain>
</file>

<file path=xl/sharedStrings.xml><?xml version="1.0" encoding="utf-8"?>
<sst xmlns="http://schemas.openxmlformats.org/spreadsheetml/2006/main" count="408" uniqueCount="103">
  <si>
    <t>A</t>
  </si>
  <si>
    <t>B</t>
  </si>
  <si>
    <t>C</t>
  </si>
  <si>
    <t>D</t>
  </si>
  <si>
    <t>E</t>
  </si>
  <si>
    <t>F</t>
  </si>
  <si>
    <t>G</t>
  </si>
  <si>
    <t>H</t>
  </si>
  <si>
    <t>Standard</t>
  </si>
  <si>
    <t>Sulfide (uM)</t>
  </si>
  <si>
    <t>Average</t>
  </si>
  <si>
    <t>Abs 1</t>
  </si>
  <si>
    <t>Abs 2</t>
  </si>
  <si>
    <t>Abs 3</t>
  </si>
  <si>
    <t>S0</t>
  </si>
  <si>
    <t>S1</t>
  </si>
  <si>
    <t>S2</t>
  </si>
  <si>
    <t>S3</t>
  </si>
  <si>
    <t>S4</t>
  </si>
  <si>
    <t>S5</t>
  </si>
  <si>
    <t>Plate 1</t>
  </si>
  <si>
    <t>Plate 2</t>
  </si>
  <si>
    <t>IDs</t>
  </si>
  <si>
    <t>STD0_0uM</t>
  </si>
  <si>
    <t>STD1_5uM</t>
  </si>
  <si>
    <t>STD2_12.5uM</t>
  </si>
  <si>
    <t>STD3_25uM</t>
  </si>
  <si>
    <t>STD4_50uM</t>
  </si>
  <si>
    <t>STD5_100uM</t>
  </si>
  <si>
    <t>10ppt_S5</t>
  </si>
  <si>
    <t>20ppt_S6</t>
  </si>
  <si>
    <t>NA</t>
  </si>
  <si>
    <t>Plate 3</t>
  </si>
  <si>
    <t>ABS1</t>
  </si>
  <si>
    <t>Dilution</t>
  </si>
  <si>
    <t>T5_20240613_FW_B4</t>
  </si>
  <si>
    <t>T5_20240613_FW_C3</t>
  </si>
  <si>
    <t>T5_20240613_FW_C6</t>
  </si>
  <si>
    <t>T5_20240613_FW_D5</t>
  </si>
  <si>
    <t>T5_20240613_FW_F6</t>
  </si>
  <si>
    <t>T5_20240613_FW_F4</t>
  </si>
  <si>
    <t>T5_20240613_FW_E3</t>
  </si>
  <si>
    <t>T5_20240613_FW_H3</t>
  </si>
  <si>
    <t>T5_20240613_FW_H6</t>
  </si>
  <si>
    <t>T5_20240613_FW_I5</t>
  </si>
  <si>
    <t>T5_20240613_SW_B4</t>
  </si>
  <si>
    <t>T5_20240613_SW_C3</t>
  </si>
  <si>
    <t>T5_20240613_SW_D5</t>
  </si>
  <si>
    <t>T5_20240613_SW_D5_DUP</t>
  </si>
  <si>
    <t>T5_20240613_SW_F4</t>
  </si>
  <si>
    <t>T5_20240613_SW_F4-SPK</t>
  </si>
  <si>
    <t>T5_20240613_SW_F6</t>
  </si>
  <si>
    <t>T5_20240613_SW_H3</t>
  </si>
  <si>
    <t>T5_20240613_SW_H6</t>
  </si>
  <si>
    <t>T5_20240613_SW_I5</t>
  </si>
  <si>
    <t>T6_20240614_FW_B4</t>
  </si>
  <si>
    <t>T6_20240614_FW_C3</t>
  </si>
  <si>
    <t>T6_20240614_FW_C6</t>
  </si>
  <si>
    <t>T6_20240614_FW_D5</t>
  </si>
  <si>
    <t>T6_20240614_FW_E3</t>
  </si>
  <si>
    <t>T6_20240614_FW_F4</t>
  </si>
  <si>
    <t>T6_20240614_FW_F6</t>
  </si>
  <si>
    <t>T6_20240614_FW_H3</t>
  </si>
  <si>
    <t>T6_20240614_FW_H6</t>
  </si>
  <si>
    <t>T6_20240614_FW_I5</t>
  </si>
  <si>
    <t>T6_20240614_SW_B4</t>
  </si>
  <si>
    <t>T6_20240614_SW_C3</t>
  </si>
  <si>
    <t>T6_20240614_SW_C6</t>
  </si>
  <si>
    <t>T6_20240614_SW_D5</t>
  </si>
  <si>
    <t>T6_20240614_SW_F6</t>
  </si>
  <si>
    <t>T6_20240614_SW_H6</t>
  </si>
  <si>
    <t>20240624_FW_C6</t>
  </si>
  <si>
    <t>20240624_FW_C6_DUP</t>
  </si>
  <si>
    <t>20240624_FW_I5</t>
  </si>
  <si>
    <t>20240624_FW_I5_SPK</t>
  </si>
  <si>
    <t>20240624_SW_B4</t>
  </si>
  <si>
    <t>20240624_SW_C3</t>
  </si>
  <si>
    <t>20240624_SW_F6</t>
  </si>
  <si>
    <t>20240611_LOW_SOURCE_ESTUARY</t>
  </si>
  <si>
    <t>20240611_HIGH_SOURCE_ESTUARY</t>
  </si>
  <si>
    <t>20240612_LOW_SOURCE_ESTUARY</t>
  </si>
  <si>
    <t>20240612_HIGH_SOURCE_ESTUARY</t>
  </si>
  <si>
    <t>20240613_LOW_SOURCE_ESTUARY</t>
  </si>
  <si>
    <t>20240612_MIDDAY_SOURCE_FW</t>
  </si>
  <si>
    <t>20240612_AFTERNOON_SOURCE_FW</t>
  </si>
  <si>
    <t>20240613_MORNING_SOURCE_FW</t>
  </si>
  <si>
    <t>20240613_MIDDAY_SOURCE_FW</t>
  </si>
  <si>
    <t>20230611_MORNING_SOURCE_SW</t>
  </si>
  <si>
    <t>20230611_MIDDAY_SOURCE_SW</t>
  </si>
  <si>
    <t>20230611_AFTERNOON_SOURCE_SW</t>
  </si>
  <si>
    <t>20240612_MORNING_SOURCE_SW</t>
  </si>
  <si>
    <t>20240613_MORNING_SOURCE_SW</t>
  </si>
  <si>
    <t>20240612_MIDDAY_SOURCE_SW</t>
  </si>
  <si>
    <t>20240612_AFTERNOON_SOURCE_SW</t>
  </si>
  <si>
    <t>20240613_MIDDAY_SOURCE_SW</t>
  </si>
  <si>
    <t>20240613_MIDDAY_SOURCE_SW_DUP</t>
  </si>
  <si>
    <t>20240613_AFTERNOON_SOURCE_SW</t>
  </si>
  <si>
    <t>20240613_AFTERNOON_SOURCE_SW_SPK</t>
  </si>
  <si>
    <t>20240613_HIGH_SOURCE_ESTUARY</t>
  </si>
  <si>
    <t>20240611_MORNING_SOURCE_FW</t>
  </si>
  <si>
    <t>20240611_MIDDAY_SOURCE_FW</t>
  </si>
  <si>
    <t>20240611_AFTERNOON_SOURCE_FW</t>
  </si>
  <si>
    <t>20240612_MORNING_SOURCE_FW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</si>
</sst>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Check'!$B$3:$B$8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'Lab Check'!$C$3:$C$8</c:f>
              <c:numCache>
                <c:formatCode>General</c:formatCode>
                <c:ptCount val="6"/>
                <c:pt idx="0">
                  <c:v>5.1666666666666666E-2</c:v>
                </c:pt>
                <c:pt idx="1">
                  <c:v>0.12033333333333333</c:v>
                </c:pt>
                <c:pt idx="2">
                  <c:v>0.27966666666666667</c:v>
                </c:pt>
                <c:pt idx="3">
                  <c:v>0.46766666666666667</c:v>
                </c:pt>
                <c:pt idx="4">
                  <c:v>0.74933333333333341</c:v>
                </c:pt>
                <c:pt idx="5">
                  <c:v>1.3703333333333332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D-4EA5-977A-D013972A0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17576"/>
        <c:axId val="434913968"/>
      </c:scatterChart>
      <c:valAx>
        <c:axId val="43491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13968"/>
        <c:crosses val="autoZero"/>
        <c:crossBetween val="midCat"/>
      </c:valAx>
      <c:valAx>
        <c:axId val="43491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17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899080396954218E-2"/>
                  <c:y val="-2.51824317059526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Check'!$J$3:$J$8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'Lab Check'!$K$3:$K$8</c:f>
              <c:numCache>
                <c:formatCode>General</c:formatCode>
                <c:ptCount val="6"/>
                <c:pt idx="0">
                  <c:v>5.0666666666666665E-2</c:v>
                </c:pt>
                <c:pt idx="1">
                  <c:v>0.124</c:v>
                </c:pt>
                <c:pt idx="2">
                  <c:v>0.34666666666666668</c:v>
                </c:pt>
                <c:pt idx="3">
                  <c:v>0.48</c:v>
                </c:pt>
                <c:pt idx="4">
                  <c:v>0.78500000000000003</c:v>
                </c:pt>
                <c:pt idx="5">
                  <c:v>1.415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F5-45D3-B294-F13D59C6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02552"/>
        <c:axId val="437601240"/>
      </c:scatterChart>
      <c:valAx>
        <c:axId val="43760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1240"/>
        <c:crosses val="autoZero"/>
        <c:crossBetween val="midCat"/>
      </c:valAx>
      <c:valAx>
        <c:axId val="43760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2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899080396954218E-2"/>
                  <c:y val="-2.51824317059526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Check'!$J$3:$J$8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'Lab Check'!$R$3:$R$8</c:f>
              <c:numCache>
                <c:formatCode>General</c:formatCode>
                <c:ptCount val="6"/>
                <c:pt idx="0">
                  <c:v>5.1333333333333335E-2</c:v>
                </c:pt>
                <c:pt idx="1">
                  <c:v>0.11</c:v>
                </c:pt>
                <c:pt idx="2">
                  <c:v>0.317</c:v>
                </c:pt>
                <c:pt idx="3">
                  <c:v>0.49299999999999999</c:v>
                </c:pt>
                <c:pt idx="4">
                  <c:v>0.75700000000000001</c:v>
                </c:pt>
                <c:pt idx="5">
                  <c:v>1.3640000000000001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32-4CE8-99C9-26EE51DF8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02552"/>
        <c:axId val="437601240"/>
      </c:scatterChart>
      <c:valAx>
        <c:axId val="43760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1240"/>
        <c:crosses val="autoZero"/>
        <c:crossBetween val="midCat"/>
      </c:valAx>
      <c:valAx>
        <c:axId val="43760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2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9</xdr:row>
      <xdr:rowOff>190499</xdr:rowOff>
    </xdr:from>
    <xdr:to>
      <xdr:col>5</xdr:col>
      <xdr:colOff>542925</xdr:colOff>
      <xdr:row>20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D4CFE-2857-4CE9-B9EE-62D03936D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138112</xdr:colOff>
      <xdr:row>10</xdr:row>
      <xdr:rowOff>76199</xdr:rowOff>
    </xdr:from>
    <xdr:to>
      <xdr:col>13</xdr:col>
      <xdr:colOff>266700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23E73C-BA10-4A35-9E89-CB31CB1E8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209550</xdr:colOff>
      <xdr:row>10</xdr:row>
      <xdr:rowOff>123824</xdr:rowOff>
    </xdr:from>
    <xdr:to>
      <xdr:col>20</xdr:col>
      <xdr:colOff>338138</xdr:colOff>
      <xdr:row>23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52CB1-A544-4269-A240-4D8815CA0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490B-6EFA-4564-93D1-114757CFBA34}">
  <dimension ref="A1:U8"/>
  <sheetViews>
    <sheetView workbookViewId="0">
      <selection activeCell="N29" sqref="N29"/>
    </sheetView>
  </sheetViews>
  <sheetFormatPr defaultRowHeight="14.5" x14ac:dyDescent="0.35"/>
  <sheetData>
    <row r="1" spans="1:21" x14ac:dyDescent="0.35">
      <c r="A1" t="s">
        <v>20</v>
      </c>
      <c r="I1" t="s">
        <v>21</v>
      </c>
      <c r="P1" t="s">
        <v>32</v>
      </c>
    </row>
    <row r="2" spans="1:21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</row>
    <row r="3" spans="1:21" x14ac:dyDescent="0.35">
      <c r="A3" t="s">
        <v>14</v>
      </c>
      <c r="B3">
        <v>0</v>
      </c>
      <c r="C3">
        <f>AVERAGE(D3:F3)</f>
        <v>5.1666666666666666E-2</v>
      </c>
      <c r="D3" s="4">
        <v>0.05</v>
      </c>
      <c r="E3" s="4">
        <v>5.3999999999999999E-2</v>
      </c>
      <c r="F3" s="4">
        <v>5.0999999999999997E-2</v>
      </c>
      <c r="I3" t="s">
        <v>14</v>
      </c>
      <c r="J3">
        <v>0</v>
      </c>
      <c r="K3">
        <f>AVERAGE(L3:N3)</f>
        <v>5.0666666666666665E-2</v>
      </c>
      <c r="L3" s="4">
        <v>0.05</v>
      </c>
      <c r="M3" s="4">
        <v>5.0999999999999997E-2</v>
      </c>
      <c r="N3" s="4">
        <v>5.0999999999999997E-2</v>
      </c>
      <c r="P3" t="s">
        <v>14</v>
      </c>
      <c r="Q3">
        <v>0</v>
      </c>
      <c r="R3">
        <f>AVERAGE(S3:U3)</f>
        <v>5.1333333333333335E-2</v>
      </c>
      <c r="S3" s="4">
        <v>5.1999999999999998E-2</v>
      </c>
      <c r="T3" s="4">
        <v>0.05</v>
      </c>
      <c r="U3" s="4">
        <v>5.1999999999999998E-2</v>
      </c>
    </row>
    <row r="4" spans="1:21" x14ac:dyDescent="0.35">
      <c r="A4" t="s">
        <v>15</v>
      </c>
      <c r="B4">
        <v>5</v>
      </c>
      <c r="C4">
        <f t="shared" ref="C4:C8" si="0">AVERAGE(D4:F4)</f>
        <v>0.12033333333333333</v>
      </c>
      <c r="D4" s="4">
        <v>0.124</v>
      </c>
      <c r="E4" s="4">
        <v>0.123</v>
      </c>
      <c r="F4" s="4">
        <v>0.114</v>
      </c>
      <c r="I4" t="s">
        <v>15</v>
      </c>
      <c r="J4">
        <v>5</v>
      </c>
      <c r="K4">
        <f t="shared" ref="K4:K6" si="1">AVERAGE(L4:N4)</f>
        <v>0.124</v>
      </c>
      <c r="L4" s="4">
        <v>0.129</v>
      </c>
      <c r="M4" s="4">
        <v>0.126</v>
      </c>
      <c r="N4" s="4">
        <v>0.11700000000000001</v>
      </c>
      <c r="P4" t="s">
        <v>15</v>
      </c>
      <c r="Q4">
        <v>5</v>
      </c>
      <c r="R4">
        <f t="shared" ref="R4" si="2">AVERAGE(S4:U4)</f>
        <v>0.11</v>
      </c>
      <c r="S4" s="4">
        <v>0.10199999999999999</v>
      </c>
      <c r="T4" s="4">
        <v>0.111</v>
      </c>
      <c r="U4" s="4">
        <v>0.11700000000000001</v>
      </c>
    </row>
    <row r="5" spans="1:21" x14ac:dyDescent="0.35">
      <c r="A5" t="s">
        <v>16</v>
      </c>
      <c r="B5">
        <v>12.5</v>
      </c>
      <c r="C5">
        <f t="shared" si="0"/>
        <v>0.27966666666666667</v>
      </c>
      <c r="D5" s="4">
        <v>0.29899999999999999</v>
      </c>
      <c r="E5" s="4">
        <v>0.29399999999999998</v>
      </c>
      <c r="F5" s="4">
        <v>0.246</v>
      </c>
      <c r="I5" t="s">
        <v>16</v>
      </c>
      <c r="J5">
        <v>12.5</v>
      </c>
      <c r="K5">
        <f t="shared" si="1"/>
        <v>0.34666666666666668</v>
      </c>
      <c r="L5" s="4">
        <v>0.34100000000000003</v>
      </c>
      <c r="M5" s="4">
        <v>0.309</v>
      </c>
      <c r="N5" s="4">
        <v>0.39</v>
      </c>
      <c r="P5" t="s">
        <v>16</v>
      </c>
      <c r="Q5">
        <v>12.5</v>
      </c>
      <c r="R5">
        <f>AVERAGE(T5:U5)</f>
        <v>0.317</v>
      </c>
      <c r="S5" s="6">
        <v>0.36899999999999999</v>
      </c>
      <c r="T5" s="4">
        <v>0.32100000000000001</v>
      </c>
      <c r="U5" s="4">
        <v>0.313</v>
      </c>
    </row>
    <row r="6" spans="1:21" x14ac:dyDescent="0.35">
      <c r="A6" t="s">
        <v>17</v>
      </c>
      <c r="B6">
        <v>25</v>
      </c>
      <c r="C6">
        <f t="shared" si="0"/>
        <v>0.46766666666666667</v>
      </c>
      <c r="D6" s="4">
        <v>0.45500000000000002</v>
      </c>
      <c r="E6" s="4">
        <v>0.50600000000000001</v>
      </c>
      <c r="F6" s="4">
        <v>0.442</v>
      </c>
      <c r="I6" t="s">
        <v>17</v>
      </c>
      <c r="J6">
        <v>25</v>
      </c>
      <c r="K6">
        <f t="shared" si="1"/>
        <v>0.48</v>
      </c>
      <c r="L6" s="4">
        <v>0.40699999999999997</v>
      </c>
      <c r="M6" s="4">
        <v>0.498</v>
      </c>
      <c r="N6" s="4">
        <v>0.53500000000000003</v>
      </c>
      <c r="P6" t="s">
        <v>17</v>
      </c>
      <c r="Q6">
        <v>25</v>
      </c>
      <c r="R6">
        <f>AVERAGE(S6:T6)</f>
        <v>0.49299999999999999</v>
      </c>
      <c r="S6" s="4">
        <v>0.55100000000000005</v>
      </c>
      <c r="T6" s="5">
        <v>0.435</v>
      </c>
      <c r="U6" s="6">
        <v>0.58499999999999996</v>
      </c>
    </row>
    <row r="7" spans="1:21" x14ac:dyDescent="0.35">
      <c r="A7" t="s">
        <v>18</v>
      </c>
      <c r="B7">
        <v>50</v>
      </c>
      <c r="C7">
        <f>AVERAGE(D7:F7)</f>
        <v>0.74933333333333341</v>
      </c>
      <c r="D7" s="4">
        <v>0.79400000000000004</v>
      </c>
      <c r="E7" s="4">
        <v>0.69599999999999995</v>
      </c>
      <c r="F7" s="5">
        <v>0.75800000000000001</v>
      </c>
      <c r="I7" t="s">
        <v>18</v>
      </c>
      <c r="J7">
        <v>50</v>
      </c>
      <c r="K7">
        <f>AVERAGE(L7:N7)</f>
        <v>0.78500000000000003</v>
      </c>
      <c r="L7" s="4">
        <v>0.80200000000000005</v>
      </c>
      <c r="M7" s="4">
        <v>0.70299999999999996</v>
      </c>
      <c r="N7" s="4">
        <v>0.85</v>
      </c>
      <c r="P7" t="s">
        <v>18</v>
      </c>
      <c r="Q7">
        <v>50</v>
      </c>
      <c r="R7">
        <f>AVERAGE(S7,U7)</f>
        <v>0.75700000000000001</v>
      </c>
      <c r="S7" s="4">
        <v>0.76800000000000002</v>
      </c>
      <c r="T7" s="6">
        <v>0.70099999999999996</v>
      </c>
      <c r="U7" s="4">
        <v>0.746</v>
      </c>
    </row>
    <row r="8" spans="1:21" x14ac:dyDescent="0.35">
      <c r="A8" t="s">
        <v>19</v>
      </c>
      <c r="B8">
        <v>100</v>
      </c>
      <c r="C8">
        <f t="shared" si="0"/>
        <v>1.3703333333333332</v>
      </c>
      <c r="D8" s="4">
        <v>1.407</v>
      </c>
      <c r="E8" s="4">
        <v>1.3260000000000001</v>
      </c>
      <c r="F8" s="4">
        <v>1.3779999999999999</v>
      </c>
      <c r="I8" t="s">
        <v>19</v>
      </c>
      <c r="J8">
        <v>100</v>
      </c>
      <c r="K8">
        <f t="shared" ref="K8" si="3">AVERAGE(L8:N8)</f>
        <v>1.415</v>
      </c>
      <c r="L8" s="4">
        <v>1.395</v>
      </c>
      <c r="M8" s="4">
        <v>1.2989999999999999</v>
      </c>
      <c r="N8" s="4">
        <v>1.5509999999999999</v>
      </c>
      <c r="P8" t="s">
        <v>19</v>
      </c>
      <c r="Q8">
        <v>100</v>
      </c>
      <c r="R8">
        <f t="shared" ref="R8" si="4">AVERAGE(S8:U8)</f>
        <v>1.3640000000000001</v>
      </c>
      <c r="S8" s="4">
        <v>1.3360000000000001</v>
      </c>
      <c r="T8" s="4">
        <v>1.4119999999999999</v>
      </c>
      <c r="U8" s="4">
        <v>1.3440000000000001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36DA-8916-4551-82D4-D35943EEAC40}">
  <dimension ref="A1:N29"/>
  <sheetViews>
    <sheetView topLeftCell="A18" workbookViewId="0">
      <selection activeCell="A21" sqref="A21:M29"/>
    </sheetView>
  </sheetViews>
  <sheetFormatPr defaultRowHeight="14.5" x14ac:dyDescent="0.35"/>
  <cols>
    <col min="2" max="2" width="13.26953125" customWidth="1"/>
  </cols>
  <sheetData>
    <row r="1" spans="1:14" x14ac:dyDescent="0.35">
      <c r="A1" s="1" t="s">
        <v>33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>
        <v>0.05</v>
      </c>
      <c r="C2" s="4">
        <v>5.3999999999999999E-2</v>
      </c>
      <c r="D2" s="4">
        <v>5.0999999999999997E-2</v>
      </c>
      <c r="E2" s="4">
        <v>5.3999999999999999E-2</v>
      </c>
      <c r="F2" s="4">
        <v>5.5E-2</v>
      </c>
      <c r="G2" s="4">
        <v>5.7000000000000002E-2</v>
      </c>
      <c r="H2" s="4">
        <v>5.1999999999999998E-2</v>
      </c>
      <c r="I2" s="4">
        <v>5.5E-2</v>
      </c>
      <c r="J2" s="4">
        <v>5.2999999999999999E-2</v>
      </c>
      <c r="K2" s="4">
        <v>5.3999999999999999E-2</v>
      </c>
      <c r="L2" s="4">
        <v>5.7000000000000002E-2</v>
      </c>
      <c r="M2" s="4">
        <v>5.3999999999999999E-2</v>
      </c>
      <c r="N2" s="3">
        <v>670</v>
      </c>
    </row>
    <row r="3" spans="1:14" x14ac:dyDescent="0.35">
      <c r="A3" s="2" t="s">
        <v>1</v>
      </c>
      <c r="B3" s="4">
        <v>0.124</v>
      </c>
      <c r="C3" s="4">
        <v>0.123</v>
      </c>
      <c r="D3" s="4">
        <v>0.114</v>
      </c>
      <c r="E3" s="4">
        <v>5.2999999999999999E-2</v>
      </c>
      <c r="F3" s="4">
        <v>5.2999999999999999E-2</v>
      </c>
      <c r="G3" s="4">
        <v>5.0999999999999997E-2</v>
      </c>
      <c r="H3" s="4">
        <v>5.6000000000000001E-2</v>
      </c>
      <c r="I3" s="4">
        <v>5.6000000000000001E-2</v>
      </c>
      <c r="J3" s="4">
        <v>5.8000000000000003E-2</v>
      </c>
      <c r="K3" s="4">
        <v>6.0999999999999999E-2</v>
      </c>
      <c r="L3" s="4">
        <v>5.3999999999999999E-2</v>
      </c>
      <c r="M3" s="4">
        <v>5.2999999999999999E-2</v>
      </c>
      <c r="N3" s="3">
        <v>670</v>
      </c>
    </row>
    <row r="4" spans="1:14" x14ac:dyDescent="0.35">
      <c r="A4" s="2" t="s">
        <v>2</v>
      </c>
      <c r="B4" s="4">
        <v>0.29899999999999999</v>
      </c>
      <c r="C4" s="4">
        <v>0.29399999999999998</v>
      </c>
      <c r="D4" s="4">
        <v>0.246</v>
      </c>
      <c r="E4" s="4">
        <v>5.3999999999999999E-2</v>
      </c>
      <c r="F4" s="4">
        <v>5.2999999999999999E-2</v>
      </c>
      <c r="G4" s="4">
        <v>5.1999999999999998E-2</v>
      </c>
      <c r="H4" s="4">
        <v>5.2999999999999999E-2</v>
      </c>
      <c r="I4" s="4">
        <v>5.1999999999999998E-2</v>
      </c>
      <c r="J4" s="4">
        <v>5.6000000000000001E-2</v>
      </c>
      <c r="K4" s="4">
        <v>5.5E-2</v>
      </c>
      <c r="L4" s="4">
        <v>5.2999999999999999E-2</v>
      </c>
      <c r="M4" s="4">
        <v>5.5E-2</v>
      </c>
      <c r="N4" s="3">
        <v>670</v>
      </c>
    </row>
    <row r="5" spans="1:14" x14ac:dyDescent="0.35">
      <c r="A5" s="2" t="s">
        <v>3</v>
      </c>
      <c r="B5" s="4">
        <v>0.45500000000000002</v>
      </c>
      <c r="C5" s="4">
        <v>0.50600000000000001</v>
      </c>
      <c r="D5" s="4">
        <v>0.442</v>
      </c>
      <c r="E5" s="4">
        <v>5.2999999999999999E-2</v>
      </c>
      <c r="F5" s="4">
        <v>5.6000000000000001E-2</v>
      </c>
      <c r="G5" s="4">
        <v>5.1999999999999998E-2</v>
      </c>
      <c r="H5" s="4">
        <v>5.3999999999999999E-2</v>
      </c>
      <c r="I5" s="4">
        <v>5.3999999999999999E-2</v>
      </c>
      <c r="J5" s="4">
        <v>5.2999999999999999E-2</v>
      </c>
      <c r="K5" s="4">
        <v>5.1999999999999998E-2</v>
      </c>
      <c r="L5" s="4">
        <v>5.2999999999999999E-2</v>
      </c>
      <c r="M5" s="4">
        <v>5.5E-2</v>
      </c>
      <c r="N5" s="3">
        <v>670</v>
      </c>
    </row>
    <row r="6" spans="1:14" x14ac:dyDescent="0.35">
      <c r="A6" s="2" t="s">
        <v>4</v>
      </c>
      <c r="B6" s="4">
        <v>0.79400000000000004</v>
      </c>
      <c r="C6" s="4">
        <v>0.69599999999999995</v>
      </c>
      <c r="D6" s="4">
        <v>0.75800000000000001</v>
      </c>
      <c r="E6" s="4">
        <v>5.2999999999999999E-2</v>
      </c>
      <c r="F6" s="4">
        <v>5.5E-2</v>
      </c>
      <c r="G6" s="4">
        <v>5.1999999999999998E-2</v>
      </c>
      <c r="H6" s="4">
        <v>5.2999999999999999E-2</v>
      </c>
      <c r="I6" s="4">
        <v>5.3999999999999999E-2</v>
      </c>
      <c r="J6" s="4">
        <v>5.3999999999999999E-2</v>
      </c>
      <c r="K6" s="4">
        <v>5.6000000000000001E-2</v>
      </c>
      <c r="L6" s="4">
        <v>5.6000000000000001E-2</v>
      </c>
      <c r="M6" s="4">
        <v>5.5E-2</v>
      </c>
      <c r="N6" s="3">
        <v>670</v>
      </c>
    </row>
    <row r="7" spans="1:14" x14ac:dyDescent="0.35">
      <c r="A7" s="2" t="s">
        <v>5</v>
      </c>
      <c r="B7" s="4">
        <v>1.407</v>
      </c>
      <c r="C7" s="4">
        <v>1.3260000000000001</v>
      </c>
      <c r="D7" s="4">
        <v>1.3779999999999999</v>
      </c>
      <c r="E7" s="4">
        <v>5.7000000000000002E-2</v>
      </c>
      <c r="F7" s="4">
        <v>5.6000000000000001E-2</v>
      </c>
      <c r="G7" s="4">
        <v>5.5E-2</v>
      </c>
      <c r="H7" s="4">
        <v>5.2999999999999999E-2</v>
      </c>
      <c r="I7" s="4">
        <v>5.0999999999999997E-2</v>
      </c>
      <c r="J7" s="4">
        <v>5.5E-2</v>
      </c>
      <c r="K7" s="4">
        <v>5.1999999999999998E-2</v>
      </c>
      <c r="L7" s="4">
        <v>5.3999999999999999E-2</v>
      </c>
      <c r="M7" s="4">
        <v>5.6000000000000001E-2</v>
      </c>
      <c r="N7" s="3">
        <v>670</v>
      </c>
    </row>
    <row r="8" spans="1:14" x14ac:dyDescent="0.35">
      <c r="A8" s="2" t="s">
        <v>6</v>
      </c>
      <c r="B8" s="4">
        <v>1.1870000000000001</v>
      </c>
      <c r="C8" s="4">
        <v>1.2809999999999999</v>
      </c>
      <c r="D8" s="4">
        <v>1.37</v>
      </c>
      <c r="E8" s="4">
        <v>5.1999999999999998E-2</v>
      </c>
      <c r="F8" s="4">
        <v>5.3999999999999999E-2</v>
      </c>
      <c r="G8" s="4">
        <v>5.5E-2</v>
      </c>
      <c r="H8" s="4">
        <v>5.2999999999999999E-2</v>
      </c>
      <c r="I8" s="4">
        <v>5.6000000000000001E-2</v>
      </c>
      <c r="J8" s="4">
        <v>5.6000000000000001E-2</v>
      </c>
      <c r="K8" s="4">
        <v>5.2999999999999999E-2</v>
      </c>
      <c r="L8" s="4">
        <v>5.3999999999999999E-2</v>
      </c>
      <c r="M8" s="4">
        <v>5.2999999999999999E-2</v>
      </c>
      <c r="N8" s="3">
        <v>670</v>
      </c>
    </row>
    <row r="9" spans="1:14" x14ac:dyDescent="0.35">
      <c r="A9" s="2" t="s">
        <v>7</v>
      </c>
      <c r="B9" s="4">
        <v>1.1830000000000001</v>
      </c>
      <c r="C9" s="4">
        <v>1.135</v>
      </c>
      <c r="D9" s="4">
        <v>1.119</v>
      </c>
      <c r="E9" s="4">
        <v>5.6000000000000001E-2</v>
      </c>
      <c r="F9" s="4">
        <v>5.2999999999999999E-2</v>
      </c>
      <c r="G9" s="4">
        <v>5.3999999999999999E-2</v>
      </c>
      <c r="H9" s="4">
        <v>0.32</v>
      </c>
      <c r="I9" s="4">
        <v>0.35299999999999998</v>
      </c>
      <c r="J9" s="4">
        <v>0.44400000000000001</v>
      </c>
      <c r="K9" s="4">
        <v>5.3999999999999999E-2</v>
      </c>
      <c r="L9" s="4">
        <v>5.5E-2</v>
      </c>
      <c r="M9" s="4">
        <v>5.3999999999999999E-2</v>
      </c>
      <c r="N9" s="3">
        <v>670</v>
      </c>
    </row>
    <row r="11" spans="1:14" x14ac:dyDescent="0.35">
      <c r="A11" s="1" t="s">
        <v>22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7.5" x14ac:dyDescent="0.35">
      <c r="A12" s="2" t="s">
        <v>0</v>
      </c>
      <c r="B12" s="4" t="s">
        <v>23</v>
      </c>
      <c r="C12" s="4" t="s">
        <v>23</v>
      </c>
      <c r="D12" s="4" t="s">
        <v>23</v>
      </c>
      <c r="E12" s="4" t="s">
        <v>35</v>
      </c>
      <c r="F12" s="4" t="s">
        <v>35</v>
      </c>
      <c r="G12" s="4" t="s">
        <v>35</v>
      </c>
      <c r="H12" s="4" t="s">
        <v>43</v>
      </c>
      <c r="I12" s="4" t="s">
        <v>43</v>
      </c>
      <c r="J12" s="4" t="s">
        <v>43</v>
      </c>
      <c r="K12" s="4" t="s">
        <v>51</v>
      </c>
      <c r="L12" s="4" t="s">
        <v>51</v>
      </c>
      <c r="M12" s="4" t="s">
        <v>51</v>
      </c>
    </row>
    <row r="13" spans="1:14" ht="37.5" x14ac:dyDescent="0.35">
      <c r="A13" s="2" t="s">
        <v>1</v>
      </c>
      <c r="B13" s="4" t="s">
        <v>24</v>
      </c>
      <c r="C13" s="4" t="s">
        <v>24</v>
      </c>
      <c r="D13" s="4" t="s">
        <v>24</v>
      </c>
      <c r="E13" s="4" t="s">
        <v>36</v>
      </c>
      <c r="F13" s="4" t="s">
        <v>36</v>
      </c>
      <c r="G13" s="4" t="s">
        <v>36</v>
      </c>
      <c r="H13" s="4" t="s">
        <v>44</v>
      </c>
      <c r="I13" s="4" t="s">
        <v>44</v>
      </c>
      <c r="J13" s="4" t="s">
        <v>44</v>
      </c>
      <c r="K13" s="4" t="s">
        <v>52</v>
      </c>
      <c r="L13" s="4" t="s">
        <v>52</v>
      </c>
      <c r="M13" s="4" t="s">
        <v>52</v>
      </c>
    </row>
    <row r="14" spans="1:14" ht="37.5" x14ac:dyDescent="0.35">
      <c r="A14" s="2" t="s">
        <v>2</v>
      </c>
      <c r="B14" s="4" t="s">
        <v>25</v>
      </c>
      <c r="C14" s="4" t="s">
        <v>25</v>
      </c>
      <c r="D14" s="4" t="s">
        <v>25</v>
      </c>
      <c r="E14" s="4" t="s">
        <v>37</v>
      </c>
      <c r="F14" s="4" t="s">
        <v>37</v>
      </c>
      <c r="G14" s="4" t="s">
        <v>37</v>
      </c>
      <c r="H14" s="4" t="s">
        <v>45</v>
      </c>
      <c r="I14" s="4" t="s">
        <v>45</v>
      </c>
      <c r="J14" s="4" t="s">
        <v>45</v>
      </c>
      <c r="K14" s="4" t="s">
        <v>53</v>
      </c>
      <c r="L14" s="4" t="s">
        <v>53</v>
      </c>
      <c r="M14" s="4" t="s">
        <v>53</v>
      </c>
    </row>
    <row r="15" spans="1:14" ht="37.5" x14ac:dyDescent="0.35">
      <c r="A15" s="2" t="s">
        <v>3</v>
      </c>
      <c r="B15" s="4" t="s">
        <v>26</v>
      </c>
      <c r="C15" s="4" t="s">
        <v>26</v>
      </c>
      <c r="D15" s="4" t="s">
        <v>26</v>
      </c>
      <c r="E15" s="4" t="s">
        <v>38</v>
      </c>
      <c r="F15" s="4" t="s">
        <v>38</v>
      </c>
      <c r="G15" s="4" t="s">
        <v>38</v>
      </c>
      <c r="H15" s="4" t="s">
        <v>46</v>
      </c>
      <c r="I15" s="4" t="s">
        <v>46</v>
      </c>
      <c r="J15" s="4" t="s">
        <v>46</v>
      </c>
      <c r="K15" s="4" t="s">
        <v>54</v>
      </c>
      <c r="L15" s="4" t="s">
        <v>54</v>
      </c>
      <c r="M15" s="4" t="s">
        <v>54</v>
      </c>
    </row>
    <row r="16" spans="1:14" ht="37.5" x14ac:dyDescent="0.35">
      <c r="A16" s="2" t="s">
        <v>4</v>
      </c>
      <c r="B16" s="4" t="s">
        <v>27</v>
      </c>
      <c r="C16" s="4" t="s">
        <v>27</v>
      </c>
      <c r="D16" s="4" t="s">
        <v>27</v>
      </c>
      <c r="E16" s="4" t="s">
        <v>41</v>
      </c>
      <c r="F16" s="4" t="s">
        <v>41</v>
      </c>
      <c r="G16" s="4" t="s">
        <v>41</v>
      </c>
      <c r="H16" s="4" t="s">
        <v>47</v>
      </c>
      <c r="I16" s="4" t="s">
        <v>47</v>
      </c>
      <c r="J16" s="4" t="s">
        <v>47</v>
      </c>
      <c r="K16" s="4" t="s">
        <v>55</v>
      </c>
      <c r="L16" s="4" t="s">
        <v>55</v>
      </c>
      <c r="M16" s="4" t="s">
        <v>55</v>
      </c>
    </row>
    <row r="17" spans="1:13" ht="37.5" x14ac:dyDescent="0.35">
      <c r="A17" s="2" t="s">
        <v>5</v>
      </c>
      <c r="B17" s="4" t="s">
        <v>28</v>
      </c>
      <c r="C17" s="4" t="s">
        <v>28</v>
      </c>
      <c r="D17" s="4" t="s">
        <v>28</v>
      </c>
      <c r="E17" s="4" t="s">
        <v>40</v>
      </c>
      <c r="F17" s="4" t="s">
        <v>40</v>
      </c>
      <c r="G17" s="4" t="s">
        <v>40</v>
      </c>
      <c r="H17" s="4" t="s">
        <v>48</v>
      </c>
      <c r="I17" s="4" t="s">
        <v>48</v>
      </c>
      <c r="J17" s="4" t="s">
        <v>48</v>
      </c>
      <c r="K17" s="4" t="s">
        <v>56</v>
      </c>
      <c r="L17" s="4" t="s">
        <v>56</v>
      </c>
      <c r="M17" s="4" t="s">
        <v>56</v>
      </c>
    </row>
    <row r="18" spans="1:13" ht="37.5" x14ac:dyDescent="0.35">
      <c r="A18" s="2" t="s">
        <v>6</v>
      </c>
      <c r="B18" s="4" t="s">
        <v>29</v>
      </c>
      <c r="C18" s="4" t="s">
        <v>29</v>
      </c>
      <c r="D18" s="4" t="s">
        <v>29</v>
      </c>
      <c r="E18" s="4" t="s">
        <v>39</v>
      </c>
      <c r="F18" s="4" t="s">
        <v>39</v>
      </c>
      <c r="G18" s="4" t="s">
        <v>39</v>
      </c>
      <c r="H18" s="4" t="s">
        <v>49</v>
      </c>
      <c r="I18" s="4" t="s">
        <v>49</v>
      </c>
      <c r="J18" s="4" t="s">
        <v>49</v>
      </c>
      <c r="K18" s="4" t="s">
        <v>57</v>
      </c>
      <c r="L18" s="4" t="s">
        <v>57</v>
      </c>
      <c r="M18" s="4" t="s">
        <v>57</v>
      </c>
    </row>
    <row r="19" spans="1:13" ht="37.5" x14ac:dyDescent="0.35">
      <c r="A19" s="2" t="s">
        <v>7</v>
      </c>
      <c r="B19" s="4" t="s">
        <v>30</v>
      </c>
      <c r="C19" s="4" t="s">
        <v>30</v>
      </c>
      <c r="D19" s="4" t="s">
        <v>30</v>
      </c>
      <c r="E19" s="4" t="s">
        <v>42</v>
      </c>
      <c r="F19" s="4" t="s">
        <v>42</v>
      </c>
      <c r="G19" s="4" t="s">
        <v>42</v>
      </c>
      <c r="H19" s="4" t="s">
        <v>50</v>
      </c>
      <c r="I19" s="4" t="s">
        <v>50</v>
      </c>
      <c r="J19" s="4" t="s">
        <v>50</v>
      </c>
      <c r="K19" s="4" t="s">
        <v>58</v>
      </c>
      <c r="L19" s="4" t="s">
        <v>58</v>
      </c>
      <c r="M19" s="4" t="s">
        <v>58</v>
      </c>
    </row>
    <row r="21" spans="1:13" x14ac:dyDescent="0.35">
      <c r="A21" s="1" t="s">
        <v>34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3" x14ac:dyDescent="0.35">
      <c r="A22" s="2" t="s">
        <v>0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</row>
    <row r="23" spans="1:13" x14ac:dyDescent="0.35">
      <c r="A23" s="2" t="s">
        <v>1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</row>
    <row r="24" spans="1:13" x14ac:dyDescent="0.35">
      <c r="A24" s="2" t="s">
        <v>2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</row>
    <row r="25" spans="1:13" x14ac:dyDescent="0.35">
      <c r="A25" s="2" t="s">
        <v>3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</row>
    <row r="26" spans="1:13" x14ac:dyDescent="0.35">
      <c r="A26" s="2" t="s">
        <v>4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35">
      <c r="A27" s="2" t="s">
        <v>5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35">
      <c r="A28" s="2" t="s">
        <v>6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35">
      <c r="A29" s="2" t="s">
        <v>7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26F3-DC46-4856-B879-BEE519F34DB3}">
  <dimension ref="A1:N29"/>
  <sheetViews>
    <sheetView topLeftCell="A17" workbookViewId="0">
      <selection activeCell="A21" sqref="A21:M29"/>
    </sheetView>
  </sheetViews>
  <sheetFormatPr defaultRowHeight="14.5" x14ac:dyDescent="0.35"/>
  <sheetData>
    <row r="1" spans="1:14" x14ac:dyDescent="0.35">
      <c r="A1" s="1" t="s">
        <v>33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>
        <v>0.05</v>
      </c>
      <c r="C2" s="4">
        <v>5.0999999999999997E-2</v>
      </c>
      <c r="D2" s="4">
        <v>5.0999999999999997E-2</v>
      </c>
      <c r="E2" s="4">
        <v>5.2999999999999999E-2</v>
      </c>
      <c r="F2" s="4">
        <v>5.0999999999999997E-2</v>
      </c>
      <c r="G2" s="4">
        <v>5.3999999999999999E-2</v>
      </c>
      <c r="H2" s="4">
        <v>5.0999999999999997E-2</v>
      </c>
      <c r="I2" s="4">
        <v>5.3999999999999999E-2</v>
      </c>
      <c r="J2" s="4">
        <v>7.0999999999999994E-2</v>
      </c>
      <c r="K2" s="4">
        <v>5.2999999999999999E-2</v>
      </c>
      <c r="L2" s="4">
        <v>5.7000000000000002E-2</v>
      </c>
      <c r="M2" s="4">
        <v>5.3999999999999999E-2</v>
      </c>
      <c r="N2" s="3">
        <v>670</v>
      </c>
    </row>
    <row r="3" spans="1:14" x14ac:dyDescent="0.35">
      <c r="A3" s="2" t="s">
        <v>1</v>
      </c>
      <c r="B3" s="4">
        <v>0.129</v>
      </c>
      <c r="C3" s="4">
        <v>0.126</v>
      </c>
      <c r="D3" s="4">
        <v>0.11700000000000001</v>
      </c>
      <c r="E3" s="4">
        <v>5.1999999999999998E-2</v>
      </c>
      <c r="F3" s="4">
        <v>5.0999999999999997E-2</v>
      </c>
      <c r="G3" s="4">
        <v>5.0999999999999997E-2</v>
      </c>
      <c r="H3" s="4">
        <v>5.1999999999999998E-2</v>
      </c>
      <c r="I3" s="4">
        <v>0.05</v>
      </c>
      <c r="J3" s="4">
        <v>6.0999999999999999E-2</v>
      </c>
      <c r="K3" s="4">
        <v>5.1999999999999998E-2</v>
      </c>
      <c r="L3" s="4">
        <v>5.5E-2</v>
      </c>
      <c r="M3" s="4">
        <v>0.05</v>
      </c>
      <c r="N3" s="3">
        <v>670</v>
      </c>
    </row>
    <row r="4" spans="1:14" x14ac:dyDescent="0.35">
      <c r="A4" s="2" t="s">
        <v>2</v>
      </c>
      <c r="B4" s="4">
        <v>0.34100000000000003</v>
      </c>
      <c r="C4" s="4">
        <v>0.309</v>
      </c>
      <c r="D4" s="4">
        <v>0.39</v>
      </c>
      <c r="E4" s="4">
        <v>5.5E-2</v>
      </c>
      <c r="F4" s="4">
        <v>5.5E-2</v>
      </c>
      <c r="G4" s="4">
        <v>5.1999999999999998E-2</v>
      </c>
      <c r="H4" s="4">
        <v>4.9000000000000002E-2</v>
      </c>
      <c r="I4" s="4">
        <v>4.8000000000000001E-2</v>
      </c>
      <c r="J4" s="4">
        <v>5.0999999999999997E-2</v>
      </c>
      <c r="K4" s="4">
        <v>0.05</v>
      </c>
      <c r="L4" s="4">
        <v>5.0999999999999997E-2</v>
      </c>
      <c r="M4" s="4">
        <v>5.1999999999999998E-2</v>
      </c>
      <c r="N4" s="3">
        <v>670</v>
      </c>
    </row>
    <row r="5" spans="1:14" x14ac:dyDescent="0.35">
      <c r="A5" s="2" t="s">
        <v>3</v>
      </c>
      <c r="B5" s="4">
        <v>0.40699999999999997</v>
      </c>
      <c r="C5" s="4">
        <v>0.498</v>
      </c>
      <c r="D5" s="4">
        <v>0.53500000000000003</v>
      </c>
      <c r="E5" s="4">
        <v>5.2999999999999999E-2</v>
      </c>
      <c r="F5" s="4">
        <v>5.1999999999999998E-2</v>
      </c>
      <c r="G5" s="4">
        <v>0.05</v>
      </c>
      <c r="H5" s="4">
        <v>6.2E-2</v>
      </c>
      <c r="I5" s="4">
        <v>5.0999999999999997E-2</v>
      </c>
      <c r="J5" s="4">
        <v>5.2999999999999999E-2</v>
      </c>
      <c r="K5" s="4">
        <v>5.1999999999999998E-2</v>
      </c>
      <c r="L5" s="4">
        <v>4.9000000000000002E-2</v>
      </c>
      <c r="M5" s="4">
        <v>0.05</v>
      </c>
      <c r="N5" s="3">
        <v>670</v>
      </c>
    </row>
    <row r="6" spans="1:14" x14ac:dyDescent="0.35">
      <c r="A6" s="2" t="s">
        <v>4</v>
      </c>
      <c r="B6" s="4">
        <v>0.80200000000000005</v>
      </c>
      <c r="C6" s="4">
        <v>0.70299999999999996</v>
      </c>
      <c r="D6" s="4">
        <v>0.85</v>
      </c>
      <c r="E6" s="4">
        <v>0.05</v>
      </c>
      <c r="F6" s="4">
        <v>5.0999999999999997E-2</v>
      </c>
      <c r="G6" s="4">
        <v>5.2999999999999999E-2</v>
      </c>
      <c r="H6" s="4">
        <v>5.2999999999999999E-2</v>
      </c>
      <c r="I6" s="4">
        <v>5.2999999999999999E-2</v>
      </c>
      <c r="J6" s="4">
        <v>5.2999999999999999E-2</v>
      </c>
      <c r="K6" s="4">
        <v>5.1999999999999998E-2</v>
      </c>
      <c r="L6" s="4">
        <v>5.0999999999999997E-2</v>
      </c>
      <c r="M6" s="4">
        <v>0.05</v>
      </c>
      <c r="N6" s="3">
        <v>670</v>
      </c>
    </row>
    <row r="7" spans="1:14" x14ac:dyDescent="0.35">
      <c r="A7" s="2" t="s">
        <v>5</v>
      </c>
      <c r="B7" s="4">
        <v>1.395</v>
      </c>
      <c r="C7" s="4">
        <v>1.2989999999999999</v>
      </c>
      <c r="D7" s="4">
        <v>1.5509999999999999</v>
      </c>
      <c r="E7" s="4">
        <v>5.8000000000000003E-2</v>
      </c>
      <c r="F7" s="4">
        <v>5.2999999999999999E-2</v>
      </c>
      <c r="G7" s="4">
        <v>5.1999999999999998E-2</v>
      </c>
      <c r="H7" s="4">
        <v>5.0999999999999997E-2</v>
      </c>
      <c r="I7" s="4">
        <v>5.0999999999999997E-2</v>
      </c>
      <c r="J7" s="4">
        <v>5.0999999999999997E-2</v>
      </c>
      <c r="K7" s="4">
        <v>5.2999999999999999E-2</v>
      </c>
      <c r="L7" s="4">
        <v>5.0999999999999997E-2</v>
      </c>
      <c r="M7" s="4">
        <v>5.1999999999999998E-2</v>
      </c>
      <c r="N7" s="3">
        <v>670</v>
      </c>
    </row>
    <row r="8" spans="1:14" x14ac:dyDescent="0.35">
      <c r="A8" s="2" t="s">
        <v>6</v>
      </c>
      <c r="B8" s="4">
        <v>1.24</v>
      </c>
      <c r="C8" s="4">
        <v>1.1719999999999999</v>
      </c>
      <c r="D8" s="4">
        <v>1.325</v>
      </c>
      <c r="E8" s="4">
        <v>5.2999999999999999E-2</v>
      </c>
      <c r="F8" s="4">
        <v>4.9000000000000002E-2</v>
      </c>
      <c r="G8" s="4">
        <v>5.0999999999999997E-2</v>
      </c>
      <c r="H8" s="4">
        <v>5.3999999999999999E-2</v>
      </c>
      <c r="I8" s="4">
        <v>5.1999999999999998E-2</v>
      </c>
      <c r="J8" s="4">
        <v>5.0999999999999997E-2</v>
      </c>
      <c r="K8" s="4">
        <v>0.05</v>
      </c>
      <c r="L8" s="4">
        <v>5.1999999999999998E-2</v>
      </c>
      <c r="M8" s="4">
        <v>5.0999999999999997E-2</v>
      </c>
      <c r="N8" s="3">
        <v>670</v>
      </c>
    </row>
    <row r="9" spans="1:14" x14ac:dyDescent="0.35">
      <c r="A9" s="2" t="s">
        <v>7</v>
      </c>
      <c r="B9" s="4">
        <v>1.2969999999999999</v>
      </c>
      <c r="C9" s="4">
        <v>1.2450000000000001</v>
      </c>
      <c r="D9" s="4">
        <v>1.2470000000000001</v>
      </c>
      <c r="E9" s="4">
        <v>5.1999999999999998E-2</v>
      </c>
      <c r="F9" s="4">
        <v>5.3999999999999999E-2</v>
      </c>
      <c r="G9" s="4">
        <v>5.3999999999999999E-2</v>
      </c>
      <c r="H9" s="4">
        <v>0.375</v>
      </c>
      <c r="I9" s="4">
        <v>0.38</v>
      </c>
      <c r="J9" s="4">
        <v>0.52200000000000002</v>
      </c>
      <c r="K9" s="4">
        <v>5.1999999999999998E-2</v>
      </c>
      <c r="L9" s="4">
        <v>5.2999999999999999E-2</v>
      </c>
      <c r="M9" s="4">
        <v>5.3999999999999999E-2</v>
      </c>
      <c r="N9" s="3">
        <v>670</v>
      </c>
    </row>
    <row r="11" spans="1:14" x14ac:dyDescent="0.35">
      <c r="A11" s="1" t="s">
        <v>22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7.5" x14ac:dyDescent="0.35">
      <c r="A12" s="2" t="s">
        <v>0</v>
      </c>
      <c r="B12" s="4" t="s">
        <v>23</v>
      </c>
      <c r="C12" s="4" t="s">
        <v>23</v>
      </c>
      <c r="D12" s="4" t="s">
        <v>23</v>
      </c>
      <c r="E12" s="4" t="s">
        <v>59</v>
      </c>
      <c r="F12" s="4" t="s">
        <v>59</v>
      </c>
      <c r="G12" s="4" t="s">
        <v>59</v>
      </c>
      <c r="H12" s="4" t="s">
        <v>67</v>
      </c>
      <c r="I12" s="4" t="s">
        <v>67</v>
      </c>
      <c r="J12" s="4" t="s">
        <v>67</v>
      </c>
      <c r="K12" s="4" t="s">
        <v>75</v>
      </c>
      <c r="L12" s="4" t="s">
        <v>75</v>
      </c>
      <c r="M12" s="4" t="s">
        <v>75</v>
      </c>
    </row>
    <row r="13" spans="1:14" ht="37.5" x14ac:dyDescent="0.35">
      <c r="A13" s="2" t="s">
        <v>1</v>
      </c>
      <c r="B13" s="4" t="s">
        <v>24</v>
      </c>
      <c r="C13" s="4" t="s">
        <v>24</v>
      </c>
      <c r="D13" s="4" t="s">
        <v>24</v>
      </c>
      <c r="E13" s="4" t="s">
        <v>60</v>
      </c>
      <c r="F13" s="4" t="s">
        <v>60</v>
      </c>
      <c r="G13" s="4" t="s">
        <v>60</v>
      </c>
      <c r="H13" s="4" t="s">
        <v>68</v>
      </c>
      <c r="I13" s="4" t="s">
        <v>68</v>
      </c>
      <c r="J13" s="4" t="s">
        <v>68</v>
      </c>
      <c r="K13" s="4" t="s">
        <v>76</v>
      </c>
      <c r="L13" s="4" t="s">
        <v>76</v>
      </c>
      <c r="M13" s="4" t="s">
        <v>76</v>
      </c>
    </row>
    <row r="14" spans="1:14" ht="37.5" x14ac:dyDescent="0.35">
      <c r="A14" s="2" t="s">
        <v>2</v>
      </c>
      <c r="B14" s="4" t="s">
        <v>25</v>
      </c>
      <c r="C14" s="4" t="s">
        <v>25</v>
      </c>
      <c r="D14" s="4" t="s">
        <v>25</v>
      </c>
      <c r="E14" s="4" t="s">
        <v>61</v>
      </c>
      <c r="F14" s="4" t="s">
        <v>61</v>
      </c>
      <c r="G14" s="4" t="s">
        <v>61</v>
      </c>
      <c r="H14" s="4" t="s">
        <v>69</v>
      </c>
      <c r="I14" s="4" t="s">
        <v>69</v>
      </c>
      <c r="J14" s="4" t="s">
        <v>69</v>
      </c>
      <c r="K14" s="4" t="s">
        <v>77</v>
      </c>
      <c r="L14" s="4" t="s">
        <v>77</v>
      </c>
      <c r="M14" s="4" t="s">
        <v>77</v>
      </c>
    </row>
    <row r="15" spans="1:14" ht="62.5" x14ac:dyDescent="0.35">
      <c r="A15" s="2" t="s">
        <v>3</v>
      </c>
      <c r="B15" s="4" t="s">
        <v>26</v>
      </c>
      <c r="C15" s="4" t="s">
        <v>26</v>
      </c>
      <c r="D15" s="4" t="s">
        <v>26</v>
      </c>
      <c r="E15" s="4" t="s">
        <v>62</v>
      </c>
      <c r="F15" s="4" t="s">
        <v>62</v>
      </c>
      <c r="G15" s="4" t="s">
        <v>62</v>
      </c>
      <c r="H15" s="4" t="s">
        <v>70</v>
      </c>
      <c r="I15" s="4" t="s">
        <v>70</v>
      </c>
      <c r="J15" s="4" t="s">
        <v>70</v>
      </c>
      <c r="K15" s="4" t="s">
        <v>78</v>
      </c>
      <c r="L15" s="4" t="s">
        <v>78</v>
      </c>
      <c r="M15" s="4" t="s">
        <v>78</v>
      </c>
    </row>
    <row r="16" spans="1:14" ht="62.5" x14ac:dyDescent="0.35">
      <c r="A16" s="2" t="s">
        <v>4</v>
      </c>
      <c r="B16" s="4" t="s">
        <v>27</v>
      </c>
      <c r="C16" s="4" t="s">
        <v>27</v>
      </c>
      <c r="D16" s="4" t="s">
        <v>27</v>
      </c>
      <c r="E16" s="4" t="s">
        <v>63</v>
      </c>
      <c r="F16" s="4" t="s">
        <v>63</v>
      </c>
      <c r="G16" s="4" t="s">
        <v>63</v>
      </c>
      <c r="H16" s="4" t="s">
        <v>71</v>
      </c>
      <c r="I16" s="4" t="s">
        <v>71</v>
      </c>
      <c r="J16" s="4" t="s">
        <v>71</v>
      </c>
      <c r="K16" s="4" t="s">
        <v>79</v>
      </c>
      <c r="L16" s="4" t="s">
        <v>79</v>
      </c>
      <c r="M16" s="4" t="s">
        <v>79</v>
      </c>
    </row>
    <row r="17" spans="1:13" ht="62.5" x14ac:dyDescent="0.35">
      <c r="A17" s="2" t="s">
        <v>5</v>
      </c>
      <c r="B17" s="4" t="s">
        <v>28</v>
      </c>
      <c r="C17" s="4" t="s">
        <v>28</v>
      </c>
      <c r="D17" s="4" t="s">
        <v>28</v>
      </c>
      <c r="E17" s="4" t="s">
        <v>64</v>
      </c>
      <c r="F17" s="4" t="s">
        <v>64</v>
      </c>
      <c r="G17" s="4" t="s">
        <v>64</v>
      </c>
      <c r="H17" s="4" t="s">
        <v>72</v>
      </c>
      <c r="I17" s="4" t="s">
        <v>72</v>
      </c>
      <c r="J17" s="4" t="s">
        <v>72</v>
      </c>
      <c r="K17" s="4" t="s">
        <v>80</v>
      </c>
      <c r="L17" s="4" t="s">
        <v>80</v>
      </c>
      <c r="M17" s="4" t="s">
        <v>80</v>
      </c>
    </row>
    <row r="18" spans="1:13" ht="62.5" x14ac:dyDescent="0.35">
      <c r="A18" s="2" t="s">
        <v>6</v>
      </c>
      <c r="B18" s="4" t="s">
        <v>29</v>
      </c>
      <c r="C18" s="4" t="s">
        <v>29</v>
      </c>
      <c r="D18" s="4" t="s">
        <v>29</v>
      </c>
      <c r="E18" s="4" t="s">
        <v>65</v>
      </c>
      <c r="F18" s="4" t="s">
        <v>65</v>
      </c>
      <c r="G18" s="4" t="s">
        <v>65</v>
      </c>
      <c r="H18" s="4" t="s">
        <v>73</v>
      </c>
      <c r="I18" s="4" t="s">
        <v>73</v>
      </c>
      <c r="J18" s="4" t="s">
        <v>73</v>
      </c>
      <c r="K18" s="4" t="s">
        <v>81</v>
      </c>
      <c r="L18" s="4" t="s">
        <v>81</v>
      </c>
      <c r="M18" s="4" t="s">
        <v>81</v>
      </c>
    </row>
    <row r="19" spans="1:13" ht="62.5" x14ac:dyDescent="0.35">
      <c r="A19" s="2" t="s">
        <v>7</v>
      </c>
      <c r="B19" s="4" t="s">
        <v>30</v>
      </c>
      <c r="C19" s="4" t="s">
        <v>30</v>
      </c>
      <c r="D19" s="4" t="s">
        <v>30</v>
      </c>
      <c r="E19" s="4" t="s">
        <v>66</v>
      </c>
      <c r="F19" s="4" t="s">
        <v>66</v>
      </c>
      <c r="G19" s="4" t="s">
        <v>66</v>
      </c>
      <c r="H19" s="4" t="s">
        <v>74</v>
      </c>
      <c r="I19" s="4" t="s">
        <v>74</v>
      </c>
      <c r="J19" s="4" t="s">
        <v>74</v>
      </c>
      <c r="K19" s="4" t="s">
        <v>82</v>
      </c>
      <c r="L19" s="4" t="s">
        <v>82</v>
      </c>
      <c r="M19" s="4" t="s">
        <v>82</v>
      </c>
    </row>
    <row r="21" spans="1:13" x14ac:dyDescent="0.35">
      <c r="A21" s="1" t="s">
        <v>34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3" x14ac:dyDescent="0.35">
      <c r="A22" s="2" t="s">
        <v>0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</row>
    <row r="23" spans="1:13" x14ac:dyDescent="0.35">
      <c r="A23" s="2" t="s">
        <v>1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</row>
    <row r="24" spans="1:13" x14ac:dyDescent="0.35">
      <c r="A24" s="2" t="s">
        <v>2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</row>
    <row r="25" spans="1:13" x14ac:dyDescent="0.35">
      <c r="A25" s="2" t="s">
        <v>3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</row>
    <row r="26" spans="1:13" x14ac:dyDescent="0.35">
      <c r="A26" s="2" t="s">
        <v>4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35">
      <c r="A27" s="2" t="s">
        <v>5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35">
      <c r="A28" s="2" t="s">
        <v>6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35">
      <c r="A29" s="2" t="s">
        <v>7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F4E6-2BC7-4F8D-97B2-8C40592F78E1}">
  <dimension ref="A1:N29"/>
  <sheetViews>
    <sheetView tabSelected="1" topLeftCell="A17" workbookViewId="0">
      <selection activeCell="P19" sqref="P19"/>
    </sheetView>
  </sheetViews>
  <sheetFormatPr defaultRowHeight="14.5" x14ac:dyDescent="0.35"/>
  <sheetData>
    <row r="1" spans="1:14" x14ac:dyDescent="0.35">
      <c r="A1" s="1" t="s">
        <v>33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>
        <v>5.1999999999999998E-2</v>
      </c>
      <c r="C2" s="4">
        <v>0.05</v>
      </c>
      <c r="D2" s="4">
        <v>5.1999999999999998E-2</v>
      </c>
      <c r="E2" s="4">
        <v>5.0999999999999997E-2</v>
      </c>
      <c r="F2" s="4">
        <v>5.2999999999999999E-2</v>
      </c>
      <c r="G2" s="4">
        <v>5.3999999999999999E-2</v>
      </c>
      <c r="H2" s="4">
        <v>5.2999999999999999E-2</v>
      </c>
      <c r="I2" s="4">
        <v>5.6000000000000001E-2</v>
      </c>
      <c r="J2" s="4">
        <v>5.3999999999999999E-2</v>
      </c>
      <c r="K2" s="4">
        <v>5.3999999999999999E-2</v>
      </c>
      <c r="L2" s="4">
        <v>5.5E-2</v>
      </c>
      <c r="M2" s="4">
        <v>5.3999999999999999E-2</v>
      </c>
      <c r="N2" s="3">
        <v>670</v>
      </c>
    </row>
    <row r="3" spans="1:14" x14ac:dyDescent="0.35">
      <c r="A3" s="2" t="s">
        <v>1</v>
      </c>
      <c r="B3" s="4">
        <v>0.10199999999999999</v>
      </c>
      <c r="C3" s="4">
        <v>0.111</v>
      </c>
      <c r="D3" s="4">
        <v>0.11700000000000001</v>
      </c>
      <c r="E3" s="4">
        <v>5.2999999999999999E-2</v>
      </c>
      <c r="F3" s="4">
        <v>0.05</v>
      </c>
      <c r="G3" s="4">
        <v>5.3999999999999999E-2</v>
      </c>
      <c r="H3" s="4">
        <v>5.8000000000000003E-2</v>
      </c>
      <c r="I3" s="4">
        <v>5.3999999999999999E-2</v>
      </c>
      <c r="J3" s="4">
        <v>5.3999999999999999E-2</v>
      </c>
      <c r="K3" s="4">
        <v>5.7000000000000002E-2</v>
      </c>
      <c r="L3" s="4">
        <v>5.3999999999999999E-2</v>
      </c>
      <c r="M3" s="4">
        <v>5.2999999999999999E-2</v>
      </c>
      <c r="N3" s="3">
        <v>670</v>
      </c>
    </row>
    <row r="4" spans="1:14" x14ac:dyDescent="0.35">
      <c r="A4" s="2" t="s">
        <v>2</v>
      </c>
      <c r="B4" s="4">
        <v>0.36899999999999999</v>
      </c>
      <c r="C4" s="4">
        <v>0.32100000000000001</v>
      </c>
      <c r="D4" s="4">
        <v>0.313</v>
      </c>
      <c r="E4" s="4">
        <v>5.2999999999999999E-2</v>
      </c>
      <c r="F4" s="4">
        <v>5.0999999999999997E-2</v>
      </c>
      <c r="G4" s="4">
        <v>0.05</v>
      </c>
      <c r="H4" s="4">
        <v>5.3999999999999999E-2</v>
      </c>
      <c r="I4" s="4">
        <v>5.3999999999999999E-2</v>
      </c>
      <c r="J4" s="4">
        <v>5.0999999999999997E-2</v>
      </c>
      <c r="K4" s="4">
        <v>5.3999999999999999E-2</v>
      </c>
      <c r="L4" s="4">
        <v>5.5E-2</v>
      </c>
      <c r="M4" s="4">
        <v>5.2999999999999999E-2</v>
      </c>
      <c r="N4" s="3">
        <v>670</v>
      </c>
    </row>
    <row r="5" spans="1:14" x14ac:dyDescent="0.35">
      <c r="A5" s="2" t="s">
        <v>3</v>
      </c>
      <c r="B5" s="4">
        <v>0.55100000000000005</v>
      </c>
      <c r="C5" s="4">
        <v>0.435</v>
      </c>
      <c r="D5" s="4">
        <v>0.58499999999999996</v>
      </c>
      <c r="E5" s="4">
        <v>0.05</v>
      </c>
      <c r="F5" s="4">
        <v>5.0999999999999997E-2</v>
      </c>
      <c r="G5" s="4">
        <v>0.05</v>
      </c>
      <c r="H5" s="4">
        <v>5.3999999999999999E-2</v>
      </c>
      <c r="I5" s="4">
        <v>5.2999999999999999E-2</v>
      </c>
      <c r="J5" s="4">
        <v>5.2999999999999999E-2</v>
      </c>
      <c r="K5" s="4">
        <v>5.5E-2</v>
      </c>
      <c r="L5" s="4">
        <v>5.2999999999999999E-2</v>
      </c>
      <c r="M5" s="4">
        <v>5.3999999999999999E-2</v>
      </c>
      <c r="N5" s="3">
        <v>670</v>
      </c>
    </row>
    <row r="6" spans="1:14" x14ac:dyDescent="0.35">
      <c r="A6" s="2" t="s">
        <v>4</v>
      </c>
      <c r="B6" s="4">
        <v>0.76800000000000002</v>
      </c>
      <c r="C6" s="4">
        <v>0.70099999999999996</v>
      </c>
      <c r="D6" s="4">
        <v>0.746</v>
      </c>
      <c r="E6" s="4">
        <v>0.05</v>
      </c>
      <c r="F6" s="4">
        <v>5.0999999999999997E-2</v>
      </c>
      <c r="G6" s="4">
        <v>5.1999999999999998E-2</v>
      </c>
      <c r="H6" s="4">
        <v>5.2999999999999999E-2</v>
      </c>
      <c r="I6" s="4">
        <v>5.2999999999999999E-2</v>
      </c>
      <c r="J6" s="4">
        <v>5.5E-2</v>
      </c>
      <c r="K6" s="4">
        <v>5.1999999999999998E-2</v>
      </c>
      <c r="L6" s="4">
        <v>5.5E-2</v>
      </c>
      <c r="M6" s="4">
        <v>4.7E-2</v>
      </c>
      <c r="N6" s="3">
        <v>670</v>
      </c>
    </row>
    <row r="7" spans="1:14" x14ac:dyDescent="0.35">
      <c r="A7" s="2" t="s">
        <v>5</v>
      </c>
      <c r="B7" s="4">
        <v>1.3360000000000001</v>
      </c>
      <c r="C7" s="4">
        <v>1.4119999999999999</v>
      </c>
      <c r="D7" s="4">
        <v>1.3440000000000001</v>
      </c>
      <c r="E7" s="4">
        <v>5.5E-2</v>
      </c>
      <c r="F7" s="4">
        <v>5.0999999999999997E-2</v>
      </c>
      <c r="G7" s="4">
        <v>5.5E-2</v>
      </c>
      <c r="H7" s="4">
        <v>5.2999999999999999E-2</v>
      </c>
      <c r="I7" s="4">
        <v>5.3999999999999999E-2</v>
      </c>
      <c r="J7" s="4">
        <v>5.2999999999999999E-2</v>
      </c>
      <c r="K7" s="4">
        <v>4.3999999999999997E-2</v>
      </c>
      <c r="L7" s="4">
        <v>4.4999999999999998E-2</v>
      </c>
      <c r="M7" s="4">
        <v>4.5999999999999999E-2</v>
      </c>
      <c r="N7" s="3">
        <v>670</v>
      </c>
    </row>
    <row r="8" spans="1:14" x14ac:dyDescent="0.35">
      <c r="A8" s="2" t="s">
        <v>6</v>
      </c>
      <c r="B8" s="4">
        <v>1.224</v>
      </c>
      <c r="C8" s="4">
        <v>1.292</v>
      </c>
      <c r="D8" s="4">
        <v>1.353</v>
      </c>
      <c r="E8" s="4">
        <v>5.5E-2</v>
      </c>
      <c r="F8" s="4">
        <v>5.3999999999999999E-2</v>
      </c>
      <c r="G8" s="4">
        <v>5.0999999999999997E-2</v>
      </c>
      <c r="H8" s="4">
        <v>5.1999999999999998E-2</v>
      </c>
      <c r="I8" s="4">
        <v>5.5E-2</v>
      </c>
      <c r="J8" s="4">
        <v>5.6000000000000001E-2</v>
      </c>
      <c r="K8" s="4">
        <v>4.4999999999999998E-2</v>
      </c>
      <c r="L8" s="4">
        <v>4.4999999999999998E-2</v>
      </c>
      <c r="M8" s="4">
        <v>4.4999999999999998E-2</v>
      </c>
      <c r="N8" s="3">
        <v>670</v>
      </c>
    </row>
    <row r="9" spans="1:14" x14ac:dyDescent="0.35">
      <c r="A9" s="2" t="s">
        <v>7</v>
      </c>
      <c r="B9" s="4">
        <v>1.339</v>
      </c>
      <c r="C9" s="4">
        <v>1.266</v>
      </c>
      <c r="D9" s="4">
        <v>1.2490000000000001</v>
      </c>
      <c r="E9" s="4">
        <v>5.1999999999999998E-2</v>
      </c>
      <c r="F9" s="4">
        <v>5.2999999999999999E-2</v>
      </c>
      <c r="G9" s="4">
        <v>4.8000000000000001E-2</v>
      </c>
      <c r="H9" s="4">
        <v>0.39500000000000002</v>
      </c>
      <c r="I9" s="4">
        <v>0.32</v>
      </c>
      <c r="J9" s="4">
        <v>0.36899999999999999</v>
      </c>
      <c r="K9" s="4">
        <v>4.3999999999999997E-2</v>
      </c>
      <c r="L9" s="4">
        <v>4.4999999999999998E-2</v>
      </c>
      <c r="M9" s="4">
        <v>4.5999999999999999E-2</v>
      </c>
      <c r="N9" s="3">
        <v>670</v>
      </c>
    </row>
    <row r="11" spans="1:14" x14ac:dyDescent="0.35">
      <c r="A11" s="1" t="s">
        <v>33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62.5" x14ac:dyDescent="0.35">
      <c r="A12" s="2" t="s">
        <v>0</v>
      </c>
      <c r="B12" s="4" t="s">
        <v>23</v>
      </c>
      <c r="C12" s="4" t="s">
        <v>23</v>
      </c>
      <c r="D12" s="4" t="s">
        <v>23</v>
      </c>
      <c r="E12" s="4" t="s">
        <v>83</v>
      </c>
      <c r="F12" s="4" t="s">
        <v>83</v>
      </c>
      <c r="G12" s="4" t="s">
        <v>83</v>
      </c>
      <c r="H12" s="4" t="s">
        <v>90</v>
      </c>
      <c r="I12" s="4" t="s">
        <v>90</v>
      </c>
      <c r="J12" s="4" t="s">
        <v>90</v>
      </c>
      <c r="K12" s="4" t="s">
        <v>98</v>
      </c>
      <c r="L12" s="4" t="s">
        <v>98</v>
      </c>
      <c r="M12" s="4" t="s">
        <v>98</v>
      </c>
    </row>
    <row r="13" spans="1:14" ht="62.5" x14ac:dyDescent="0.35">
      <c r="A13" s="2" t="s">
        <v>1</v>
      </c>
      <c r="B13" s="4" t="s">
        <v>24</v>
      </c>
      <c r="C13" s="4" t="s">
        <v>24</v>
      </c>
      <c r="D13" s="4" t="s">
        <v>24</v>
      </c>
      <c r="E13" s="4" t="s">
        <v>84</v>
      </c>
      <c r="F13" s="4" t="s">
        <v>84</v>
      </c>
      <c r="G13" s="4" t="s">
        <v>84</v>
      </c>
      <c r="H13" s="4" t="s">
        <v>92</v>
      </c>
      <c r="I13" s="4" t="s">
        <v>92</v>
      </c>
      <c r="J13" s="4" t="s">
        <v>92</v>
      </c>
      <c r="K13" s="4" t="s">
        <v>99</v>
      </c>
      <c r="L13" s="4" t="s">
        <v>99</v>
      </c>
      <c r="M13" s="4" t="s">
        <v>99</v>
      </c>
    </row>
    <row r="14" spans="1:14" ht="62.5" x14ac:dyDescent="0.35">
      <c r="A14" s="2" t="s">
        <v>2</v>
      </c>
      <c r="B14" s="4" t="s">
        <v>25</v>
      </c>
      <c r="C14" s="4" t="s">
        <v>25</v>
      </c>
      <c r="D14" s="4" t="s">
        <v>25</v>
      </c>
      <c r="E14" s="4" t="s">
        <v>85</v>
      </c>
      <c r="F14" s="4" t="s">
        <v>85</v>
      </c>
      <c r="G14" s="4" t="s">
        <v>85</v>
      </c>
      <c r="H14" s="4" t="s">
        <v>93</v>
      </c>
      <c r="I14" s="4" t="s">
        <v>93</v>
      </c>
      <c r="J14" s="4" t="s">
        <v>93</v>
      </c>
      <c r="K14" s="4" t="s">
        <v>100</v>
      </c>
      <c r="L14" s="4" t="s">
        <v>100</v>
      </c>
      <c r="M14" s="4" t="s">
        <v>100</v>
      </c>
    </row>
    <row r="15" spans="1:14" ht="62.5" x14ac:dyDescent="0.35">
      <c r="A15" s="2" t="s">
        <v>3</v>
      </c>
      <c r="B15" s="4" t="s">
        <v>26</v>
      </c>
      <c r="C15" s="4" t="s">
        <v>26</v>
      </c>
      <c r="D15" s="4" t="s">
        <v>26</v>
      </c>
      <c r="E15" s="4" t="s">
        <v>86</v>
      </c>
      <c r="F15" s="4" t="s">
        <v>86</v>
      </c>
      <c r="G15" s="4" t="s">
        <v>86</v>
      </c>
      <c r="H15" s="4" t="s">
        <v>91</v>
      </c>
      <c r="I15" s="4" t="s">
        <v>91</v>
      </c>
      <c r="J15" s="4" t="s">
        <v>91</v>
      </c>
      <c r="K15" s="4" t="s">
        <v>101</v>
      </c>
      <c r="L15" s="4" t="s">
        <v>101</v>
      </c>
      <c r="M15" s="4" t="s">
        <v>101</v>
      </c>
    </row>
    <row r="16" spans="1:14" ht="62.5" x14ac:dyDescent="0.35">
      <c r="A16" s="2" t="s">
        <v>4</v>
      </c>
      <c r="B16" s="4" t="s">
        <v>27</v>
      </c>
      <c r="C16" s="4" t="s">
        <v>27</v>
      </c>
      <c r="D16" s="4" t="s">
        <v>27</v>
      </c>
      <c r="E16" s="4" t="s">
        <v>84</v>
      </c>
      <c r="F16" s="4" t="s">
        <v>84</v>
      </c>
      <c r="G16" s="4" t="s">
        <v>84</v>
      </c>
      <c r="H16" s="4" t="s">
        <v>94</v>
      </c>
      <c r="I16" s="4" t="s">
        <v>94</v>
      </c>
      <c r="J16" s="4" t="s">
        <v>94</v>
      </c>
      <c r="K16" s="4" t="s">
        <v>102</v>
      </c>
      <c r="L16" s="4" t="s">
        <v>102</v>
      </c>
      <c r="M16" s="4" t="s">
        <v>102</v>
      </c>
    </row>
    <row r="17" spans="1:13" ht="62.5" x14ac:dyDescent="0.35">
      <c r="A17" s="2" t="s">
        <v>5</v>
      </c>
      <c r="B17" s="4" t="s">
        <v>28</v>
      </c>
      <c r="C17" s="4" t="s">
        <v>28</v>
      </c>
      <c r="D17" s="4" t="s">
        <v>28</v>
      </c>
      <c r="E17" s="4" t="s">
        <v>87</v>
      </c>
      <c r="F17" s="4" t="s">
        <v>87</v>
      </c>
      <c r="G17" s="4" t="s">
        <v>87</v>
      </c>
      <c r="H17" s="4" t="s">
        <v>95</v>
      </c>
      <c r="I17" s="4" t="s">
        <v>95</v>
      </c>
      <c r="J17" s="4" t="s">
        <v>95</v>
      </c>
      <c r="K17" s="4" t="s">
        <v>31</v>
      </c>
      <c r="L17" s="4" t="s">
        <v>31</v>
      </c>
      <c r="M17" s="4" t="s">
        <v>31</v>
      </c>
    </row>
    <row r="18" spans="1:13" ht="62.5" x14ac:dyDescent="0.35">
      <c r="A18" s="2" t="s">
        <v>6</v>
      </c>
      <c r="B18" s="4" t="s">
        <v>29</v>
      </c>
      <c r="C18" s="4" t="s">
        <v>29</v>
      </c>
      <c r="D18" s="4" t="s">
        <v>29</v>
      </c>
      <c r="E18" s="4" t="s">
        <v>88</v>
      </c>
      <c r="F18" s="4" t="s">
        <v>88</v>
      </c>
      <c r="G18" s="4" t="s">
        <v>88</v>
      </c>
      <c r="H18" s="4" t="s">
        <v>96</v>
      </c>
      <c r="I18" s="4" t="s">
        <v>96</v>
      </c>
      <c r="J18" s="4" t="s">
        <v>96</v>
      </c>
      <c r="K18" s="4" t="s">
        <v>31</v>
      </c>
      <c r="L18" s="4" t="s">
        <v>31</v>
      </c>
      <c r="M18" s="4" t="s">
        <v>31</v>
      </c>
    </row>
    <row r="19" spans="1:13" ht="62.5" x14ac:dyDescent="0.35">
      <c r="A19" s="2" t="s">
        <v>7</v>
      </c>
      <c r="B19" s="4" t="s">
        <v>30</v>
      </c>
      <c r="C19" s="4" t="s">
        <v>30</v>
      </c>
      <c r="D19" s="4" t="s">
        <v>30</v>
      </c>
      <c r="E19" s="4" t="s">
        <v>89</v>
      </c>
      <c r="F19" s="4" t="s">
        <v>89</v>
      </c>
      <c r="G19" s="4" t="s">
        <v>89</v>
      </c>
      <c r="H19" s="4" t="s">
        <v>97</v>
      </c>
      <c r="I19" s="4" t="s">
        <v>97</v>
      </c>
      <c r="J19" s="4" t="s">
        <v>97</v>
      </c>
      <c r="K19" s="4" t="s">
        <v>31</v>
      </c>
      <c r="L19" s="4" t="s">
        <v>31</v>
      </c>
      <c r="M19" s="4" t="s">
        <v>31</v>
      </c>
    </row>
    <row r="21" spans="1:13" x14ac:dyDescent="0.35">
      <c r="A21" s="1" t="s">
        <v>34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3" x14ac:dyDescent="0.35">
      <c r="A22" s="2" t="s">
        <v>0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</row>
    <row r="23" spans="1:13" x14ac:dyDescent="0.35">
      <c r="A23" s="2" t="s">
        <v>1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</row>
    <row r="24" spans="1:13" x14ac:dyDescent="0.35">
      <c r="A24" s="2" t="s">
        <v>2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</row>
    <row r="25" spans="1:13" x14ac:dyDescent="0.35">
      <c r="A25" s="2" t="s">
        <v>3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</row>
    <row r="26" spans="1:13" x14ac:dyDescent="0.35">
      <c r="A26" s="2" t="s">
        <v>4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35">
      <c r="A27" s="2" t="s">
        <v>5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35">
      <c r="A28" s="2" t="s">
        <v>6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35">
      <c r="A29" s="2" t="s">
        <v>7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 Check</vt:lpstr>
      <vt:lpstr>Plate 1</vt:lpstr>
      <vt:lpstr>Plate 2</vt:lpstr>
      <vt:lpstr>Plate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Ashleigh Montgomery (Student)</cp:lastModifiedBy>
  <dcterms:created xsi:type="dcterms:W3CDTF">2024-06-24T16:55:23Z</dcterms:created>
  <dcterms:modified xsi:type="dcterms:W3CDTF">2025-11-03T17:08:18Z</dcterms:modified>
</cp:coreProperties>
</file>