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amontg35_sundevils_asu_edu/Documents/Data/TEMPEST/Porewater/01_RawMicroplateData/"/>
    </mc:Choice>
  </mc:AlternateContent>
  <xr:revisionPtr revIDLastSave="6" documentId="13_ncr:1_{814616C5-1FA3-478B-9612-B8DC10638033}" xr6:coauthVersionLast="47" xr6:coauthVersionMax="47" xr10:uidLastSave="{4DABFF58-94AF-40D2-8940-5C9AEBABD2B5}"/>
  <bookViews>
    <workbookView xWindow="-110" yWindow="-110" windowWidth="19420" windowHeight="10300" activeTab="3" xr2:uid="{F5541B09-0FA3-4575-A5E3-3F4D6CDDB016}"/>
  </bookViews>
  <sheets>
    <sheet name="STDs chk" sheetId="1" r:id="rId1"/>
    <sheet name="Paste" sheetId="4" r:id="rId2"/>
    <sheet name="Standards" sheetId="5" r:id="rId3"/>
    <sheet name="Plate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10" i="1"/>
  <c r="B9" i="1"/>
  <c r="B8" i="1"/>
  <c r="B7" i="1"/>
  <c r="B6" i="1"/>
  <c r="B5" i="1"/>
  <c r="B3" i="1"/>
</calcChain>
</file>

<file path=xl/sharedStrings.xml><?xml version="1.0" encoding="utf-8"?>
<sst xmlns="http://schemas.openxmlformats.org/spreadsheetml/2006/main" count="361" uniqueCount="54">
  <si>
    <t xml:space="preserve">Plate 1 </t>
  </si>
  <si>
    <t>Conc</t>
  </si>
  <si>
    <t>Avg Abs</t>
  </si>
  <si>
    <t>Abs1</t>
  </si>
  <si>
    <t>Abs 2</t>
  </si>
  <si>
    <t>Abs3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</si>
  <si>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</si>
  <si>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</si>
  <si>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</si>
  <si>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</si>
  <si>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</si>
  <si>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</si>
  <si>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</si>
  <si>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</si>
  <si>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</si>
  <si>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STD_S0</t>
  </si>
  <si>
    <t>STD_S1</t>
  </si>
  <si>
    <t>STD_S2</t>
  </si>
  <si>
    <t>STD_S3</t>
  </si>
  <si>
    <t>STD_S4</t>
  </si>
  <si>
    <t>STD_S5</t>
  </si>
  <si>
    <t>10ppt_S5</t>
  </si>
  <si>
    <t>20ppt_S5</t>
  </si>
  <si>
    <t>Dilutions</t>
  </si>
  <si>
    <t>Std_Conc_uM</t>
  </si>
  <si>
    <t>NA</t>
  </si>
  <si>
    <t>STDS</t>
  </si>
  <si>
    <t>20230807_SW_B4</t>
  </si>
  <si>
    <t>20230807_SW_C3</t>
  </si>
  <si>
    <t>20230807_SW_C6</t>
  </si>
  <si>
    <t>20230807_SW_D5</t>
  </si>
  <si>
    <t>20230807_SW_E3</t>
  </si>
  <si>
    <t>20230807_SW_F4</t>
  </si>
  <si>
    <t>20230807_SW_F6</t>
  </si>
  <si>
    <t>20230807_SW_H3</t>
  </si>
  <si>
    <t>20230807_SW_H6</t>
  </si>
  <si>
    <t>20230807_SW_I5</t>
  </si>
  <si>
    <t>20230810_C_B4</t>
  </si>
  <si>
    <t>20230807_FW_F4</t>
  </si>
  <si>
    <t>20230707_FW_I5</t>
  </si>
  <si>
    <t>20230707_FW_I5_dup</t>
  </si>
  <si>
    <t>20230707_SW_D5</t>
  </si>
  <si>
    <t>20230707_SW_D5_spk</t>
  </si>
  <si>
    <t>20230710_C_I5</t>
  </si>
  <si>
    <t>20230627_FW_D5</t>
  </si>
  <si>
    <t>20230627_SW_D5</t>
  </si>
  <si>
    <t>20230627_SW_F4</t>
  </si>
  <si>
    <t>20230628_C_D5</t>
  </si>
  <si>
    <t>20230617_FW_C3</t>
  </si>
  <si>
    <t>20230617_C_H3</t>
  </si>
  <si>
    <t>20230617_SW_B4</t>
  </si>
  <si>
    <t>Plate 1</t>
  </si>
  <si>
    <t>Samples1</t>
  </si>
  <si>
    <t>ABS1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</si>
</sst>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3" borderId="1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 indent="1"/>
    </xf>
    <xf numFmtId="1" fontId="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chk'!$B$2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951436907949958E-2"/>
                  <c:y val="-0.100852103789104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chk'!$A$3:$A$9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</c:numCache>
            </c:numRef>
          </c:xVal>
          <c:yVal>
            <c:numRef>
              <c:f>'STDs chk'!$B$3:$B$9</c:f>
              <c:numCache>
                <c:formatCode>General</c:formatCode>
                <c:ptCount val="7"/>
                <c:pt idx="0">
                  <c:v>5.1999999999999998E-2</c:v>
                </c:pt>
                <c:pt idx="1">
                  <c:v>0.13533333333333333</c:v>
                </c:pt>
                <c:pt idx="2">
                  <c:v>0.25266666666666665</c:v>
                </c:pt>
                <c:pt idx="3">
                  <c:v>0.437</c:v>
                </c:pt>
                <c:pt idx="4">
                  <c:v>0.76533333333333342</c:v>
                </c:pt>
                <c:pt idx="5">
                  <c:v>1.6306666666666665</c:v>
                </c:pt>
                <c:pt idx="6">
                  <c:v>1.6706666666666667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2-4430-8DA0-862E3BA9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158720"/>
        <c:axId val="459159048"/>
      </c:scatterChart>
      <c:valAx>
        <c:axId val="45915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59048"/>
        <c:crosses val="autoZero"/>
        <c:crossBetween val="midCat"/>
      </c:valAx>
      <c:valAx>
        <c:axId val="45915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5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</xdr:row>
      <xdr:rowOff>4762</xdr:rowOff>
    </xdr:from>
    <xdr:to>
      <xdr:col>11</xdr:col>
      <xdr:colOff>390525</xdr:colOff>
      <xdr:row>11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7B7107-9E2F-78D8-5C98-F597560EA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99EE-E6B8-4394-926A-DA00F84A1241}">
  <dimension ref="A1:E29"/>
  <sheetViews>
    <sheetView workbookViewId="0">
      <selection activeCell="E15" sqref="E15"/>
    </sheetView>
  </sheetViews>
  <sheetFormatPr defaultRowHeight="14.5" x14ac:dyDescent="0.35"/>
  <sheetData>
    <row r="1" spans="1:5" x14ac:dyDescent="0.35">
      <c r="A1" s="1" t="s">
        <v>0</v>
      </c>
    </row>
    <row r="2" spans="1: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5">
      <c r="A3">
        <v>0</v>
      </c>
      <c r="B3">
        <f>AVERAGE(C3:E3)</f>
        <v>5.1999999999999998E-2</v>
      </c>
      <c r="C3" s="2">
        <v>5.0999999999999997E-2</v>
      </c>
      <c r="D3" s="2">
        <v>5.2999999999999999E-2</v>
      </c>
      <c r="E3" s="2">
        <v>5.1999999999999998E-2</v>
      </c>
    </row>
    <row r="4" spans="1:5" x14ac:dyDescent="0.35">
      <c r="A4">
        <v>5</v>
      </c>
      <c r="B4">
        <f>AVERAGE(C4:E4)</f>
        <v>0.13533333333333333</v>
      </c>
      <c r="C4" s="2">
        <v>0.123</v>
      </c>
      <c r="D4" s="2">
        <v>0.121</v>
      </c>
      <c r="E4" s="2">
        <v>0.16200000000000001</v>
      </c>
    </row>
    <row r="5" spans="1:5" x14ac:dyDescent="0.35">
      <c r="A5">
        <v>12.5</v>
      </c>
      <c r="B5">
        <f t="shared" ref="B5:B10" si="0">AVERAGE(C5:E5)</f>
        <v>0.25266666666666665</v>
      </c>
      <c r="C5" s="2">
        <v>0.253</v>
      </c>
      <c r="D5" s="2">
        <v>0.23699999999999999</v>
      </c>
      <c r="E5" s="2">
        <v>0.26800000000000002</v>
      </c>
    </row>
    <row r="6" spans="1:5" x14ac:dyDescent="0.35">
      <c r="A6">
        <v>25</v>
      </c>
      <c r="B6">
        <f t="shared" si="0"/>
        <v>0.437</v>
      </c>
      <c r="C6" s="2">
        <v>0.44600000000000001</v>
      </c>
      <c r="D6" s="2">
        <v>0.42199999999999999</v>
      </c>
      <c r="E6" s="2">
        <v>0.443</v>
      </c>
    </row>
    <row r="7" spans="1:5" x14ac:dyDescent="0.35">
      <c r="A7">
        <v>50</v>
      </c>
      <c r="B7">
        <f t="shared" si="0"/>
        <v>0.76533333333333342</v>
      </c>
      <c r="C7" s="2">
        <v>0.80500000000000005</v>
      </c>
      <c r="D7" s="2">
        <v>0.78300000000000003</v>
      </c>
      <c r="E7" s="2">
        <v>0.70799999999999996</v>
      </c>
    </row>
    <row r="8" spans="1:5" x14ac:dyDescent="0.35">
      <c r="A8">
        <v>100</v>
      </c>
      <c r="B8">
        <f t="shared" si="0"/>
        <v>1.6306666666666665</v>
      </c>
      <c r="C8" s="2">
        <v>1.6319999999999999</v>
      </c>
      <c r="D8" s="2">
        <v>1.53</v>
      </c>
      <c r="E8" s="2">
        <v>1.73</v>
      </c>
    </row>
    <row r="9" spans="1:5" x14ac:dyDescent="0.35">
      <c r="A9">
        <v>100</v>
      </c>
      <c r="B9">
        <f t="shared" si="0"/>
        <v>1.6706666666666667</v>
      </c>
      <c r="C9" s="2">
        <v>1.66</v>
      </c>
      <c r="D9" s="2">
        <v>1.627</v>
      </c>
      <c r="E9" s="2">
        <v>1.7250000000000001</v>
      </c>
    </row>
    <row r="10" spans="1:5" x14ac:dyDescent="0.35">
      <c r="A10">
        <v>100</v>
      </c>
      <c r="B10">
        <f t="shared" si="0"/>
        <v>1.5190000000000001</v>
      </c>
      <c r="C10" s="2">
        <v>1.4630000000000001</v>
      </c>
      <c r="D10" s="2">
        <v>1.516</v>
      </c>
      <c r="E10" s="2">
        <v>1.5780000000000001</v>
      </c>
    </row>
    <row r="29" spans="5:5" x14ac:dyDescent="0.35">
      <c r="E2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B831-0CEF-4F1D-9689-B610E910122C}">
  <dimension ref="A3:N25"/>
  <sheetViews>
    <sheetView workbookViewId="0">
      <selection activeCell="B18" sqref="B18:M25"/>
    </sheetView>
  </sheetViews>
  <sheetFormatPr defaultRowHeight="14.5" x14ac:dyDescent="0.35"/>
  <cols>
    <col min="1" max="1" width="10.453125" customWidth="1"/>
  </cols>
  <sheetData>
    <row r="3" spans="1:14" x14ac:dyDescent="0.35">
      <c r="A3" s="4" t="s">
        <v>26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</row>
    <row r="4" spans="1:14" x14ac:dyDescent="0.35">
      <c r="A4" s="5" t="s">
        <v>6</v>
      </c>
      <c r="B4" s="2">
        <v>5.1999999999999998E-2</v>
      </c>
      <c r="C4" s="2">
        <v>5.1999999999999998E-2</v>
      </c>
      <c r="D4" s="2">
        <v>5.0999999999999997E-2</v>
      </c>
      <c r="E4" s="2">
        <v>4.4999999999999998E-2</v>
      </c>
      <c r="F4" s="2">
        <v>4.4999999999999998E-2</v>
      </c>
      <c r="G4" s="2">
        <v>4.8000000000000001E-2</v>
      </c>
      <c r="H4" s="2">
        <v>4.4999999999999998E-2</v>
      </c>
      <c r="I4" s="2">
        <v>4.5999999999999999E-2</v>
      </c>
      <c r="J4" s="2">
        <v>4.4999999999999998E-2</v>
      </c>
      <c r="K4" s="2">
        <v>4.4999999999999998E-2</v>
      </c>
      <c r="L4" s="2">
        <v>4.4999999999999998E-2</v>
      </c>
      <c r="M4" s="2">
        <v>4.4999999999999998E-2</v>
      </c>
      <c r="N4" s="6">
        <v>670</v>
      </c>
    </row>
    <row r="5" spans="1:14" x14ac:dyDescent="0.35">
      <c r="A5" s="5" t="s">
        <v>7</v>
      </c>
      <c r="B5" s="2">
        <v>0.14000000000000001</v>
      </c>
      <c r="C5" s="2">
        <v>0.14299999999999999</v>
      </c>
      <c r="D5" s="2">
        <v>0.122</v>
      </c>
      <c r="E5" s="2">
        <v>4.5999999999999999E-2</v>
      </c>
      <c r="F5" s="2">
        <v>4.3999999999999997E-2</v>
      </c>
      <c r="G5" s="2">
        <v>4.4999999999999998E-2</v>
      </c>
      <c r="H5" s="2">
        <v>4.5999999999999999E-2</v>
      </c>
      <c r="I5" s="2">
        <v>4.4999999999999998E-2</v>
      </c>
      <c r="J5" s="2">
        <v>4.4999999999999998E-2</v>
      </c>
      <c r="K5" s="2">
        <v>4.5999999999999999E-2</v>
      </c>
      <c r="L5" s="2">
        <v>4.4999999999999998E-2</v>
      </c>
      <c r="M5" s="2">
        <v>4.5999999999999999E-2</v>
      </c>
      <c r="N5" s="6">
        <v>670</v>
      </c>
    </row>
    <row r="6" spans="1:14" x14ac:dyDescent="0.35">
      <c r="A6" s="5" t="s">
        <v>8</v>
      </c>
      <c r="B6" s="2">
        <v>0.26300000000000001</v>
      </c>
      <c r="C6" s="2">
        <v>0.26300000000000001</v>
      </c>
      <c r="D6" s="2">
        <v>0.26700000000000002</v>
      </c>
      <c r="E6" s="2">
        <v>4.4999999999999998E-2</v>
      </c>
      <c r="F6" s="2">
        <v>4.4999999999999998E-2</v>
      </c>
      <c r="G6" s="2">
        <v>4.4999999999999998E-2</v>
      </c>
      <c r="H6" s="2">
        <v>4.3999999999999997E-2</v>
      </c>
      <c r="I6" s="2">
        <v>4.4999999999999998E-2</v>
      </c>
      <c r="J6" s="2">
        <v>4.8000000000000001E-2</v>
      </c>
      <c r="K6" s="2">
        <v>4.4999999999999998E-2</v>
      </c>
      <c r="L6" s="2">
        <v>4.4999999999999998E-2</v>
      </c>
      <c r="M6" s="2">
        <v>4.7E-2</v>
      </c>
      <c r="N6" s="6">
        <v>670</v>
      </c>
    </row>
    <row r="7" spans="1:14" x14ac:dyDescent="0.35">
      <c r="A7" s="5" t="s">
        <v>9</v>
      </c>
      <c r="B7" s="2">
        <v>0.41199999999999998</v>
      </c>
      <c r="C7" s="2">
        <v>0.45600000000000002</v>
      </c>
      <c r="D7" s="2">
        <v>0.44800000000000001</v>
      </c>
      <c r="E7" s="2">
        <v>4.4999999999999998E-2</v>
      </c>
      <c r="F7" s="2">
        <v>4.4999999999999998E-2</v>
      </c>
      <c r="G7" s="2">
        <v>4.4999999999999998E-2</v>
      </c>
      <c r="H7" s="2">
        <v>4.4999999999999998E-2</v>
      </c>
      <c r="I7" s="2">
        <v>4.4999999999999998E-2</v>
      </c>
      <c r="J7" s="2">
        <v>4.3999999999999997E-2</v>
      </c>
      <c r="K7" s="2">
        <v>4.4999999999999998E-2</v>
      </c>
      <c r="L7" s="2">
        <v>4.5999999999999999E-2</v>
      </c>
      <c r="M7" s="2">
        <v>4.3999999999999997E-2</v>
      </c>
      <c r="N7" s="6">
        <v>670</v>
      </c>
    </row>
    <row r="8" spans="1:14" x14ac:dyDescent="0.35">
      <c r="A8" s="5" t="s">
        <v>10</v>
      </c>
      <c r="B8" s="2">
        <v>0.75700000000000001</v>
      </c>
      <c r="C8" s="2">
        <v>0.72699999999999998</v>
      </c>
      <c r="D8" s="2">
        <v>0.749</v>
      </c>
      <c r="E8" s="2">
        <v>4.7E-2</v>
      </c>
      <c r="F8" s="2">
        <v>4.4999999999999998E-2</v>
      </c>
      <c r="G8" s="2">
        <v>4.5999999999999999E-2</v>
      </c>
      <c r="H8" s="2">
        <v>4.4999999999999998E-2</v>
      </c>
      <c r="I8" s="2">
        <v>4.4999999999999998E-2</v>
      </c>
      <c r="J8" s="2">
        <v>4.4999999999999998E-2</v>
      </c>
      <c r="K8" s="2">
        <v>4.4999999999999998E-2</v>
      </c>
      <c r="L8" s="2">
        <v>4.4999999999999998E-2</v>
      </c>
      <c r="M8" s="2">
        <v>4.4999999999999998E-2</v>
      </c>
      <c r="N8" s="6">
        <v>670</v>
      </c>
    </row>
    <row r="9" spans="1:14" x14ac:dyDescent="0.35">
      <c r="A9" s="5" t="s">
        <v>11</v>
      </c>
      <c r="B9" s="2">
        <v>1.1639999999999999</v>
      </c>
      <c r="C9" s="2">
        <v>1.208</v>
      </c>
      <c r="D9" s="2">
        <v>1.216</v>
      </c>
      <c r="E9" s="2">
        <v>4.4999999999999998E-2</v>
      </c>
      <c r="F9" s="2">
        <v>4.4999999999999998E-2</v>
      </c>
      <c r="G9" s="2">
        <v>4.7E-2</v>
      </c>
      <c r="H9" s="2">
        <v>4.3999999999999997E-2</v>
      </c>
      <c r="I9" s="2">
        <v>4.3999999999999997E-2</v>
      </c>
      <c r="J9" s="2">
        <v>4.4999999999999998E-2</v>
      </c>
      <c r="K9" s="2">
        <v>4.4999999999999998E-2</v>
      </c>
      <c r="L9" s="2">
        <v>4.4999999999999998E-2</v>
      </c>
      <c r="M9" s="2">
        <v>4.4999999999999998E-2</v>
      </c>
      <c r="N9" s="6">
        <v>670</v>
      </c>
    </row>
    <row r="10" spans="1:14" x14ac:dyDescent="0.35">
      <c r="A10" s="5" t="s">
        <v>12</v>
      </c>
      <c r="B10" s="2">
        <v>1.226</v>
      </c>
      <c r="C10" s="2">
        <v>1.226</v>
      </c>
      <c r="D10" s="2">
        <v>1.17</v>
      </c>
      <c r="E10" s="2">
        <v>4.4999999999999998E-2</v>
      </c>
      <c r="F10" s="2">
        <v>4.4999999999999998E-2</v>
      </c>
      <c r="G10" s="2">
        <v>4.4999999999999998E-2</v>
      </c>
      <c r="H10" s="2">
        <v>4.3999999999999997E-2</v>
      </c>
      <c r="I10" s="2">
        <v>4.4999999999999998E-2</v>
      </c>
      <c r="J10" s="2">
        <v>4.4999999999999998E-2</v>
      </c>
      <c r="K10" s="2">
        <v>4.4999999999999998E-2</v>
      </c>
      <c r="L10" s="2">
        <v>4.4999999999999998E-2</v>
      </c>
      <c r="M10" s="2">
        <v>4.3999999999999997E-2</v>
      </c>
      <c r="N10" s="6">
        <v>670</v>
      </c>
    </row>
    <row r="11" spans="1:14" x14ac:dyDescent="0.35">
      <c r="A11" s="5" t="s">
        <v>13</v>
      </c>
      <c r="B11" s="2">
        <v>1.1080000000000001</v>
      </c>
      <c r="C11" s="2">
        <v>1.0980000000000001</v>
      </c>
      <c r="D11" s="2">
        <v>1.0629999999999999</v>
      </c>
      <c r="E11" s="2">
        <v>4.4999999999999998E-2</v>
      </c>
      <c r="F11" s="2">
        <v>4.4999999999999998E-2</v>
      </c>
      <c r="G11" s="2">
        <v>4.3999999999999997E-2</v>
      </c>
      <c r="H11" s="2">
        <v>4.4999999999999998E-2</v>
      </c>
      <c r="I11" s="2">
        <v>4.4999999999999998E-2</v>
      </c>
      <c r="J11" s="2">
        <v>4.5999999999999999E-2</v>
      </c>
      <c r="K11" s="2">
        <v>4.4999999999999998E-2</v>
      </c>
      <c r="L11" s="2">
        <v>4.4999999999999998E-2</v>
      </c>
      <c r="M11" s="2">
        <v>4.5999999999999999E-2</v>
      </c>
      <c r="N11" s="6">
        <v>670</v>
      </c>
    </row>
    <row r="15" spans="1:14" x14ac:dyDescent="0.35">
      <c r="A15" t="s">
        <v>51</v>
      </c>
    </row>
    <row r="17" spans="1:14" x14ac:dyDescent="0.35">
      <c r="A17" s="4" t="s">
        <v>52</v>
      </c>
      <c r="B17" s="5">
        <v>1</v>
      </c>
      <c r="C17" s="5">
        <v>2</v>
      </c>
      <c r="D17" s="5">
        <v>3</v>
      </c>
      <c r="E17" s="5">
        <v>4</v>
      </c>
      <c r="F17" s="5">
        <v>5</v>
      </c>
      <c r="G17" s="5">
        <v>6</v>
      </c>
      <c r="H17" s="5">
        <v>7</v>
      </c>
      <c r="I17" s="5">
        <v>8</v>
      </c>
      <c r="J17" s="5">
        <v>9</v>
      </c>
      <c r="K17" s="5">
        <v>10</v>
      </c>
      <c r="L17" s="5">
        <v>11</v>
      </c>
      <c r="M17" s="5">
        <v>12</v>
      </c>
    </row>
    <row r="18" spans="1:14" x14ac:dyDescent="0.35">
      <c r="A18" s="5" t="s">
        <v>6</v>
      </c>
      <c r="B18" s="2">
        <v>5.0999999999999997E-2</v>
      </c>
      <c r="C18" s="2">
        <v>5.2999999999999999E-2</v>
      </c>
      <c r="D18" s="2">
        <v>5.1999999999999998E-2</v>
      </c>
      <c r="E18" s="2">
        <v>5.5E-2</v>
      </c>
      <c r="F18" s="2">
        <v>5.5E-2</v>
      </c>
      <c r="G18" s="2">
        <v>0.06</v>
      </c>
      <c r="H18" s="2">
        <v>6.7000000000000004E-2</v>
      </c>
      <c r="I18" s="2">
        <v>6.9000000000000006E-2</v>
      </c>
      <c r="J18" s="2">
        <v>6.8000000000000005E-2</v>
      </c>
      <c r="K18" s="2">
        <v>5.6000000000000001E-2</v>
      </c>
      <c r="L18" s="2">
        <v>5.1999999999999998E-2</v>
      </c>
      <c r="M18" s="2">
        <v>5.6000000000000001E-2</v>
      </c>
      <c r="N18" s="6">
        <v>670</v>
      </c>
    </row>
    <row r="19" spans="1:14" x14ac:dyDescent="0.35">
      <c r="A19" s="5" t="s">
        <v>7</v>
      </c>
      <c r="B19" s="2">
        <v>0.123</v>
      </c>
      <c r="C19" s="2">
        <v>0.121</v>
      </c>
      <c r="D19" s="2">
        <v>0.16200000000000001</v>
      </c>
      <c r="E19" s="2">
        <v>5.3999999999999999E-2</v>
      </c>
      <c r="F19" s="2">
        <v>5.3999999999999999E-2</v>
      </c>
      <c r="G19" s="2">
        <v>5.5E-2</v>
      </c>
      <c r="H19" s="2">
        <v>5.6000000000000001E-2</v>
      </c>
      <c r="I19" s="2">
        <v>5.1999999999999998E-2</v>
      </c>
      <c r="J19" s="2">
        <v>7.1999999999999995E-2</v>
      </c>
      <c r="K19" s="2">
        <v>5.2999999999999999E-2</v>
      </c>
      <c r="L19" s="2">
        <v>5.5E-2</v>
      </c>
      <c r="M19" s="2">
        <v>5.5E-2</v>
      </c>
      <c r="N19" s="6">
        <v>670</v>
      </c>
    </row>
    <row r="20" spans="1:14" x14ac:dyDescent="0.35">
      <c r="A20" s="5" t="s">
        <v>8</v>
      </c>
      <c r="B20" s="2">
        <v>0.253</v>
      </c>
      <c r="C20" s="2">
        <v>0.23699999999999999</v>
      </c>
      <c r="D20" s="2">
        <v>0.26800000000000002</v>
      </c>
      <c r="E20" s="2">
        <v>5.3999999999999999E-2</v>
      </c>
      <c r="F20" s="2">
        <v>5.6000000000000001E-2</v>
      </c>
      <c r="G20" s="2">
        <v>5.8000000000000003E-2</v>
      </c>
      <c r="H20" s="2">
        <v>5.1999999999999998E-2</v>
      </c>
      <c r="I20" s="2">
        <v>5.3999999999999999E-2</v>
      </c>
      <c r="J20" s="2">
        <v>5.3999999999999999E-2</v>
      </c>
      <c r="K20" s="2">
        <v>5.1999999999999998E-2</v>
      </c>
      <c r="L20" s="2">
        <v>5.5E-2</v>
      </c>
      <c r="M20" s="2">
        <v>5.3999999999999999E-2</v>
      </c>
      <c r="N20" s="6">
        <v>670</v>
      </c>
    </row>
    <row r="21" spans="1:14" x14ac:dyDescent="0.35">
      <c r="A21" s="5" t="s">
        <v>9</v>
      </c>
      <c r="B21" s="2">
        <v>0.44600000000000001</v>
      </c>
      <c r="C21" s="2">
        <v>0.42199999999999999</v>
      </c>
      <c r="D21" s="2">
        <v>0.443</v>
      </c>
      <c r="E21" s="2">
        <v>5.5E-2</v>
      </c>
      <c r="F21" s="2">
        <v>5.5E-2</v>
      </c>
      <c r="G21" s="2">
        <v>5.3999999999999999E-2</v>
      </c>
      <c r="H21" s="2">
        <v>5.5E-2</v>
      </c>
      <c r="I21" s="2">
        <v>5.2999999999999999E-2</v>
      </c>
      <c r="J21" s="2">
        <v>5.6000000000000001E-2</v>
      </c>
      <c r="K21" s="2">
        <v>0.05</v>
      </c>
      <c r="L21" s="2">
        <v>5.1999999999999998E-2</v>
      </c>
      <c r="M21" s="2">
        <v>5.0999999999999997E-2</v>
      </c>
      <c r="N21" s="6">
        <v>670</v>
      </c>
    </row>
    <row r="22" spans="1:14" x14ac:dyDescent="0.35">
      <c r="A22" s="5" t="s">
        <v>10</v>
      </c>
      <c r="B22" s="2">
        <v>0.80500000000000005</v>
      </c>
      <c r="C22" s="2">
        <v>0.78300000000000003</v>
      </c>
      <c r="D22" s="2">
        <v>0.70799999999999996</v>
      </c>
      <c r="E22" s="2">
        <v>5.5E-2</v>
      </c>
      <c r="F22" s="2">
        <v>5.5E-2</v>
      </c>
      <c r="G22" s="2">
        <v>5.1999999999999998E-2</v>
      </c>
      <c r="H22" s="2">
        <v>5.6000000000000001E-2</v>
      </c>
      <c r="I22" s="2">
        <v>5.7000000000000002E-2</v>
      </c>
      <c r="J22" s="2">
        <v>5.3999999999999999E-2</v>
      </c>
      <c r="K22" s="2">
        <v>5.3999999999999999E-2</v>
      </c>
      <c r="L22" s="2">
        <v>5.3999999999999999E-2</v>
      </c>
      <c r="M22" s="2">
        <v>5.2999999999999999E-2</v>
      </c>
      <c r="N22" s="6">
        <v>670</v>
      </c>
    </row>
    <row r="23" spans="1:14" x14ac:dyDescent="0.35">
      <c r="A23" s="5" t="s">
        <v>11</v>
      </c>
      <c r="B23" s="2">
        <v>1.6319999999999999</v>
      </c>
      <c r="C23" s="2">
        <v>1.53</v>
      </c>
      <c r="D23" s="2">
        <v>1.73</v>
      </c>
      <c r="E23" s="2">
        <v>5.2999999999999999E-2</v>
      </c>
      <c r="F23" s="2">
        <v>5.3999999999999999E-2</v>
      </c>
      <c r="G23" s="2">
        <v>5.6000000000000001E-2</v>
      </c>
      <c r="H23" s="2">
        <v>5.5E-2</v>
      </c>
      <c r="I23" s="2">
        <v>5.3999999999999999E-2</v>
      </c>
      <c r="J23" s="2">
        <v>5.8000000000000003E-2</v>
      </c>
      <c r="K23" s="2">
        <v>5.2999999999999999E-2</v>
      </c>
      <c r="L23" s="2">
        <v>5.1999999999999998E-2</v>
      </c>
      <c r="M23" s="2">
        <v>5.2999999999999999E-2</v>
      </c>
      <c r="N23" s="6">
        <v>670</v>
      </c>
    </row>
    <row r="24" spans="1:14" x14ac:dyDescent="0.35">
      <c r="A24" s="5" t="s">
        <v>12</v>
      </c>
      <c r="B24" s="2">
        <v>1.66</v>
      </c>
      <c r="C24" s="2">
        <v>1.627</v>
      </c>
      <c r="D24" s="2">
        <v>1.7250000000000001</v>
      </c>
      <c r="E24" s="2">
        <v>5.5E-2</v>
      </c>
      <c r="F24" s="2">
        <v>5.5E-2</v>
      </c>
      <c r="G24" s="2">
        <v>5.3999999999999999E-2</v>
      </c>
      <c r="H24" s="2">
        <v>5.2999999999999999E-2</v>
      </c>
      <c r="I24" s="2">
        <v>5.2999999999999999E-2</v>
      </c>
      <c r="J24" s="2">
        <v>5.3999999999999999E-2</v>
      </c>
      <c r="K24" s="2">
        <v>5.1999999999999998E-2</v>
      </c>
      <c r="L24" s="2">
        <v>5.5E-2</v>
      </c>
      <c r="M24" s="2">
        <v>5.3999999999999999E-2</v>
      </c>
      <c r="N24" s="6">
        <v>670</v>
      </c>
    </row>
    <row r="25" spans="1:14" x14ac:dyDescent="0.35">
      <c r="A25" s="5" t="s">
        <v>13</v>
      </c>
      <c r="B25" s="2">
        <v>1.4630000000000001</v>
      </c>
      <c r="C25" s="2">
        <v>1.516</v>
      </c>
      <c r="D25" s="2">
        <v>1.5780000000000001</v>
      </c>
      <c r="E25" s="2">
        <v>7.4999999999999997E-2</v>
      </c>
      <c r="F25" s="2">
        <v>7.8E-2</v>
      </c>
      <c r="G25" s="2">
        <v>7.3999999999999996E-2</v>
      </c>
      <c r="H25" s="2">
        <v>0.54900000000000004</v>
      </c>
      <c r="I25" s="2">
        <v>0.41499999999999998</v>
      </c>
      <c r="J25" s="2">
        <v>0.65400000000000003</v>
      </c>
      <c r="K25" s="2">
        <v>5.3999999999999999E-2</v>
      </c>
      <c r="L25" s="2">
        <v>5.1999999999999998E-2</v>
      </c>
      <c r="M25" s="2">
        <v>5.1999999999999998E-2</v>
      </c>
      <c r="N25" s="6">
        <v>670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65D2-C67F-47AA-B685-A279659A8286}">
  <dimension ref="A1:M39"/>
  <sheetViews>
    <sheetView workbookViewId="0">
      <selection activeCell="D3" sqref="D3"/>
    </sheetView>
  </sheetViews>
  <sheetFormatPr defaultRowHeight="14.5" x14ac:dyDescent="0.35"/>
  <sheetData>
    <row r="1" spans="1:13" x14ac:dyDescent="0.35">
      <c r="A1" s="4" t="s">
        <v>3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35">
      <c r="A2" s="5" t="s">
        <v>6</v>
      </c>
      <c r="B2" s="2">
        <v>5.1999999999999998E-2</v>
      </c>
      <c r="C2" s="2">
        <v>5.1999999999999998E-2</v>
      </c>
      <c r="D2" s="2">
        <v>5.0999999999999997E-2</v>
      </c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s="5" t="s">
        <v>7</v>
      </c>
      <c r="B3" s="2">
        <v>0.14000000000000001</v>
      </c>
      <c r="C3" s="2">
        <v>0.14299999999999999</v>
      </c>
      <c r="D3" s="2">
        <v>0.122</v>
      </c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A4" s="5" t="s">
        <v>8</v>
      </c>
      <c r="B4" s="2">
        <v>0.26300000000000001</v>
      </c>
      <c r="C4" s="2">
        <v>0.26300000000000001</v>
      </c>
      <c r="D4" s="2">
        <v>0.26700000000000002</v>
      </c>
      <c r="E4" s="2"/>
      <c r="F4" s="2"/>
      <c r="G4" s="2"/>
      <c r="H4" s="2"/>
      <c r="I4" s="2"/>
      <c r="J4" s="2"/>
      <c r="K4" s="2"/>
      <c r="L4" s="2"/>
      <c r="M4" s="2"/>
    </row>
    <row r="5" spans="1:13" x14ac:dyDescent="0.35">
      <c r="A5" s="5" t="s">
        <v>9</v>
      </c>
      <c r="B5" s="2">
        <v>0.41199999999999998</v>
      </c>
      <c r="C5" s="2">
        <v>0.45600000000000002</v>
      </c>
      <c r="D5" s="2">
        <v>0.44800000000000001</v>
      </c>
      <c r="E5" s="2"/>
      <c r="F5" s="2"/>
      <c r="G5" s="2"/>
      <c r="H5" s="2"/>
      <c r="I5" s="2"/>
      <c r="J5" s="2"/>
      <c r="K5" s="2"/>
      <c r="L5" s="2"/>
      <c r="M5" s="2"/>
    </row>
    <row r="6" spans="1:13" x14ac:dyDescent="0.35">
      <c r="A6" s="5" t="s">
        <v>10</v>
      </c>
      <c r="B6" s="2">
        <v>0.75700000000000001</v>
      </c>
      <c r="C6" s="2">
        <v>0.72699999999999998</v>
      </c>
      <c r="D6" s="2">
        <v>0.749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35">
      <c r="A7" s="5" t="s">
        <v>11</v>
      </c>
      <c r="B7" s="2">
        <v>1.1639999999999999</v>
      </c>
      <c r="C7" s="2">
        <v>1.208</v>
      </c>
      <c r="D7" s="2">
        <v>1.216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35">
      <c r="A8" s="5" t="s">
        <v>12</v>
      </c>
      <c r="B8" s="2">
        <v>1.226</v>
      </c>
      <c r="C8" s="2">
        <v>1.226</v>
      </c>
      <c r="D8" s="2">
        <v>1.17</v>
      </c>
      <c r="E8" s="2"/>
      <c r="F8" s="2"/>
      <c r="G8" s="2"/>
      <c r="H8" s="2"/>
      <c r="I8" s="2"/>
      <c r="J8" s="2"/>
      <c r="K8" s="2"/>
      <c r="L8" s="2"/>
      <c r="M8" s="2"/>
    </row>
    <row r="9" spans="1:13" x14ac:dyDescent="0.35">
      <c r="A9" s="5" t="s">
        <v>13</v>
      </c>
      <c r="B9" s="2">
        <v>1.1080000000000001</v>
      </c>
      <c r="C9" s="2">
        <v>1.0980000000000001</v>
      </c>
      <c r="D9" s="2">
        <v>1.0629999999999999</v>
      </c>
      <c r="E9" s="2"/>
      <c r="F9" s="2"/>
      <c r="G9" s="2"/>
      <c r="H9" s="2"/>
      <c r="I9" s="2"/>
      <c r="J9" s="2"/>
      <c r="K9" s="2"/>
      <c r="L9" s="2"/>
      <c r="M9" s="2"/>
    </row>
    <row r="10" spans="1:13" x14ac:dyDescent="0.3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s="9" t="s">
        <v>14</v>
      </c>
      <c r="B11" s="10">
        <v>1</v>
      </c>
      <c r="C11" s="10">
        <v>2</v>
      </c>
      <c r="D11" s="10">
        <v>3</v>
      </c>
      <c r="E11" s="10">
        <v>4</v>
      </c>
      <c r="F11" s="10">
        <v>5</v>
      </c>
      <c r="G11" s="10">
        <v>6</v>
      </c>
      <c r="H11" s="10">
        <v>7</v>
      </c>
      <c r="I11" s="10">
        <v>8</v>
      </c>
      <c r="J11" s="10">
        <v>9</v>
      </c>
      <c r="K11" s="10">
        <v>10</v>
      </c>
      <c r="L11" s="10">
        <v>11</v>
      </c>
      <c r="M11" s="10">
        <v>12</v>
      </c>
    </row>
    <row r="12" spans="1:13" x14ac:dyDescent="0.35">
      <c r="A12" s="11" t="s">
        <v>6</v>
      </c>
      <c r="B12" s="12" t="s">
        <v>15</v>
      </c>
      <c r="C12" s="12" t="s">
        <v>15</v>
      </c>
      <c r="D12" s="12" t="s">
        <v>15</v>
      </c>
      <c r="E12" s="14"/>
      <c r="F12" s="14"/>
      <c r="G12" s="14"/>
      <c r="H12" s="14"/>
      <c r="I12" s="14"/>
      <c r="J12" s="14"/>
      <c r="K12" s="14"/>
      <c r="L12" s="14"/>
      <c r="M12" s="14"/>
    </row>
    <row r="13" spans="1:13" x14ac:dyDescent="0.35">
      <c r="A13" s="11" t="s">
        <v>7</v>
      </c>
      <c r="B13" s="12" t="s">
        <v>16</v>
      </c>
      <c r="C13" s="12" t="s">
        <v>16</v>
      </c>
      <c r="D13" s="12" t="s">
        <v>16</v>
      </c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35">
      <c r="A14" s="11" t="s">
        <v>8</v>
      </c>
      <c r="B14" s="12" t="s">
        <v>17</v>
      </c>
      <c r="C14" s="12" t="s">
        <v>17</v>
      </c>
      <c r="D14" s="12" t="s">
        <v>17</v>
      </c>
      <c r="E14" s="14"/>
      <c r="F14" s="14"/>
      <c r="G14" s="14"/>
      <c r="H14" s="14"/>
      <c r="I14" s="14"/>
      <c r="J14" s="14"/>
      <c r="K14" s="14"/>
      <c r="L14" s="14"/>
      <c r="M14" s="14"/>
    </row>
    <row r="15" spans="1:13" x14ac:dyDescent="0.35">
      <c r="A15" s="11" t="s">
        <v>9</v>
      </c>
      <c r="B15" s="12" t="s">
        <v>18</v>
      </c>
      <c r="C15" s="12" t="s">
        <v>18</v>
      </c>
      <c r="D15" s="12" t="s">
        <v>18</v>
      </c>
      <c r="E15" s="14"/>
      <c r="F15" s="14"/>
      <c r="G15" s="14"/>
      <c r="H15" s="14"/>
      <c r="I15" s="14"/>
      <c r="J15" s="14"/>
      <c r="K15" s="14"/>
      <c r="L15" s="14"/>
      <c r="M15" s="14"/>
    </row>
    <row r="16" spans="1:13" x14ac:dyDescent="0.35">
      <c r="A16" s="11" t="s">
        <v>10</v>
      </c>
      <c r="B16" s="12" t="s">
        <v>19</v>
      </c>
      <c r="C16" s="12" t="s">
        <v>19</v>
      </c>
      <c r="D16" s="12" t="s">
        <v>19</v>
      </c>
      <c r="E16" s="14"/>
      <c r="F16" s="14"/>
      <c r="G16" s="14"/>
      <c r="H16" s="14"/>
      <c r="I16" s="14"/>
      <c r="J16" s="14"/>
      <c r="K16" s="14"/>
      <c r="L16" s="14"/>
      <c r="M16" s="14"/>
    </row>
    <row r="17" spans="1:13" x14ac:dyDescent="0.35">
      <c r="A17" s="11" t="s">
        <v>11</v>
      </c>
      <c r="B17" s="12" t="s">
        <v>20</v>
      </c>
      <c r="C17" s="12" t="s">
        <v>20</v>
      </c>
      <c r="D17" s="12" t="s">
        <v>20</v>
      </c>
      <c r="E17" s="18"/>
      <c r="F17" s="18"/>
      <c r="G17" s="18"/>
      <c r="H17" s="14"/>
      <c r="I17" s="14"/>
      <c r="J17" s="14"/>
      <c r="K17" s="14"/>
      <c r="L17" s="14"/>
      <c r="M17" s="14"/>
    </row>
    <row r="18" spans="1:13" x14ac:dyDescent="0.35">
      <c r="A18" s="11" t="s">
        <v>12</v>
      </c>
      <c r="B18" s="12" t="s">
        <v>21</v>
      </c>
      <c r="C18" s="12" t="s">
        <v>21</v>
      </c>
      <c r="D18" s="12" t="s">
        <v>21</v>
      </c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35">
      <c r="A19" s="11" t="s">
        <v>13</v>
      </c>
      <c r="B19" s="12" t="s">
        <v>22</v>
      </c>
      <c r="C19" s="12" t="s">
        <v>22</v>
      </c>
      <c r="D19" s="12" t="s">
        <v>22</v>
      </c>
      <c r="E19" s="14"/>
      <c r="F19" s="14"/>
      <c r="G19" s="14"/>
      <c r="H19" s="14"/>
      <c r="I19" s="14"/>
      <c r="J19" s="14"/>
      <c r="K19" s="14"/>
      <c r="L19" s="14"/>
      <c r="M19" s="14"/>
    </row>
    <row r="21" spans="1:13" ht="29" x14ac:dyDescent="0.35">
      <c r="A21" s="13" t="s">
        <v>23</v>
      </c>
      <c r="B21" s="11">
        <v>1</v>
      </c>
      <c r="C21" s="11">
        <v>2</v>
      </c>
      <c r="D21" s="11">
        <v>3</v>
      </c>
      <c r="E21" s="11">
        <v>4</v>
      </c>
      <c r="F21" s="11">
        <v>5</v>
      </c>
      <c r="G21" s="11">
        <v>6</v>
      </c>
      <c r="H21" s="11">
        <v>7</v>
      </c>
      <c r="I21" s="11">
        <v>8</v>
      </c>
      <c r="J21" s="11">
        <v>9</v>
      </c>
      <c r="K21" s="11">
        <v>10</v>
      </c>
      <c r="L21" s="11">
        <v>11</v>
      </c>
      <c r="M21" s="11">
        <v>12</v>
      </c>
    </row>
    <row r="22" spans="1:13" x14ac:dyDescent="0.35">
      <c r="A22" s="11" t="s">
        <v>6</v>
      </c>
      <c r="B22" s="14">
        <v>1</v>
      </c>
      <c r="C22" s="14">
        <v>1</v>
      </c>
      <c r="D22" s="14">
        <v>1</v>
      </c>
      <c r="E22" s="15">
        <v>1.1000000000000001</v>
      </c>
      <c r="F22" s="15">
        <v>1.1000000000000001</v>
      </c>
      <c r="G22" s="15">
        <v>1.1000000000000001</v>
      </c>
      <c r="H22" s="16">
        <v>1.25</v>
      </c>
      <c r="I22" s="16">
        <v>1.25</v>
      </c>
      <c r="J22" s="16">
        <v>1.25</v>
      </c>
      <c r="K22" s="17">
        <v>1</v>
      </c>
      <c r="L22" s="17">
        <v>1</v>
      </c>
      <c r="M22" s="17">
        <v>1</v>
      </c>
    </row>
    <row r="23" spans="1:13" x14ac:dyDescent="0.35">
      <c r="A23" s="11" t="s">
        <v>7</v>
      </c>
      <c r="B23" s="14">
        <v>1</v>
      </c>
      <c r="C23" s="14">
        <v>1</v>
      </c>
      <c r="D23" s="14">
        <v>1</v>
      </c>
      <c r="E23" s="16">
        <v>1.25</v>
      </c>
      <c r="F23" s="16">
        <v>1.25</v>
      </c>
      <c r="G23" s="16">
        <v>1.25</v>
      </c>
      <c r="H23" s="16">
        <v>1.25</v>
      </c>
      <c r="I23" s="16">
        <v>1.25</v>
      </c>
      <c r="J23" s="16">
        <v>1.25</v>
      </c>
      <c r="K23" s="17">
        <v>1</v>
      </c>
      <c r="L23" s="17">
        <v>1</v>
      </c>
      <c r="M23" s="17">
        <v>1</v>
      </c>
    </row>
    <row r="24" spans="1:13" x14ac:dyDescent="0.35">
      <c r="A24" s="11" t="s">
        <v>8</v>
      </c>
      <c r="B24" s="14">
        <v>1</v>
      </c>
      <c r="C24" s="14">
        <v>1</v>
      </c>
      <c r="D24" s="14">
        <v>1</v>
      </c>
      <c r="E24" s="16">
        <v>1.25</v>
      </c>
      <c r="F24" s="16">
        <v>1.25</v>
      </c>
      <c r="G24" s="16">
        <v>1.25</v>
      </c>
      <c r="H24" s="16">
        <v>1.25</v>
      </c>
      <c r="I24" s="16">
        <v>1.25</v>
      </c>
      <c r="J24" s="16">
        <v>1.25</v>
      </c>
      <c r="K24" s="17">
        <v>1</v>
      </c>
      <c r="L24" s="17">
        <v>1</v>
      </c>
      <c r="M24" s="17">
        <v>1</v>
      </c>
    </row>
    <row r="25" spans="1:13" x14ac:dyDescent="0.35">
      <c r="A25" s="11" t="s">
        <v>9</v>
      </c>
      <c r="B25" s="14">
        <v>1</v>
      </c>
      <c r="C25" s="14">
        <v>1</v>
      </c>
      <c r="D25" s="14">
        <v>1</v>
      </c>
      <c r="E25" s="16">
        <v>1.25</v>
      </c>
      <c r="F25" s="16">
        <v>1.25</v>
      </c>
      <c r="G25" s="16">
        <v>1.25</v>
      </c>
      <c r="H25" s="16">
        <v>1.25</v>
      </c>
      <c r="I25" s="16">
        <v>1.25</v>
      </c>
      <c r="J25" s="16">
        <v>1.25</v>
      </c>
      <c r="K25" s="17">
        <v>1</v>
      </c>
      <c r="L25" s="17">
        <v>1</v>
      </c>
      <c r="M25" s="17">
        <v>1</v>
      </c>
    </row>
    <row r="26" spans="1:13" x14ac:dyDescent="0.35">
      <c r="A26" s="11" t="s">
        <v>10</v>
      </c>
      <c r="B26" s="14">
        <v>1</v>
      </c>
      <c r="C26" s="14">
        <v>1</v>
      </c>
      <c r="D26" s="14">
        <v>1</v>
      </c>
      <c r="E26" s="16">
        <v>1.25</v>
      </c>
      <c r="F26" s="16">
        <v>1.25</v>
      </c>
      <c r="G26" s="16">
        <v>1.25</v>
      </c>
      <c r="H26" s="16">
        <v>1.25</v>
      </c>
      <c r="I26" s="16">
        <v>1.25</v>
      </c>
      <c r="J26" s="16">
        <v>1.25</v>
      </c>
      <c r="K26" s="17">
        <v>1</v>
      </c>
      <c r="L26" s="17">
        <v>1</v>
      </c>
      <c r="M26" s="17">
        <v>1</v>
      </c>
    </row>
    <row r="27" spans="1:13" x14ac:dyDescent="0.35">
      <c r="A27" s="11" t="s">
        <v>11</v>
      </c>
      <c r="B27" s="14">
        <v>1</v>
      </c>
      <c r="C27" s="14">
        <v>1</v>
      </c>
      <c r="D27" s="14">
        <v>1</v>
      </c>
      <c r="E27" s="16">
        <v>1.25</v>
      </c>
      <c r="F27" s="16">
        <v>1.25</v>
      </c>
      <c r="G27" s="16">
        <v>1.25</v>
      </c>
      <c r="H27" s="16">
        <v>1.25</v>
      </c>
      <c r="I27" s="16">
        <v>1.25</v>
      </c>
      <c r="J27" s="16">
        <v>1.25</v>
      </c>
      <c r="K27" s="17">
        <v>1</v>
      </c>
      <c r="L27" s="17">
        <v>1</v>
      </c>
      <c r="M27" s="17">
        <v>1</v>
      </c>
    </row>
    <row r="28" spans="1:13" x14ac:dyDescent="0.35">
      <c r="A28" s="11" t="s">
        <v>12</v>
      </c>
      <c r="B28" s="14">
        <v>1</v>
      </c>
      <c r="C28" s="14">
        <v>1</v>
      </c>
      <c r="D28" s="14">
        <v>1</v>
      </c>
      <c r="E28" s="16">
        <v>1.25</v>
      </c>
      <c r="F28" s="16">
        <v>1.25</v>
      </c>
      <c r="G28" s="16">
        <v>1.25</v>
      </c>
      <c r="H28" s="16">
        <v>1.25</v>
      </c>
      <c r="I28" s="16">
        <v>1.25</v>
      </c>
      <c r="J28" s="16">
        <v>1.25</v>
      </c>
      <c r="K28" s="17">
        <v>1</v>
      </c>
      <c r="L28" s="17">
        <v>1</v>
      </c>
      <c r="M28" s="17">
        <v>1</v>
      </c>
    </row>
    <row r="29" spans="1:13" x14ac:dyDescent="0.35">
      <c r="A29" s="11" t="s">
        <v>13</v>
      </c>
      <c r="B29" s="14">
        <v>1</v>
      </c>
      <c r="C29" s="14">
        <v>1</v>
      </c>
      <c r="D29" s="14">
        <v>1</v>
      </c>
      <c r="E29" s="16">
        <v>1.25</v>
      </c>
      <c r="F29" s="16">
        <v>1.25</v>
      </c>
      <c r="G29" s="16">
        <v>1.25</v>
      </c>
      <c r="H29" s="16">
        <v>1.25</v>
      </c>
      <c r="I29" s="16">
        <v>1.25</v>
      </c>
      <c r="J29" s="16">
        <v>1.25</v>
      </c>
      <c r="K29" s="17">
        <v>1</v>
      </c>
      <c r="L29" s="17">
        <v>1</v>
      </c>
      <c r="M29" s="17">
        <v>1</v>
      </c>
    </row>
    <row r="30" spans="1:13" x14ac:dyDescent="0.35">
      <c r="E30" s="3"/>
      <c r="F30" s="3"/>
      <c r="G30" s="3"/>
      <c r="H30" s="3"/>
      <c r="I30" s="3"/>
      <c r="J30" s="3"/>
      <c r="K30" s="3"/>
      <c r="L30" s="3"/>
      <c r="M30" s="3"/>
    </row>
    <row r="31" spans="1:13" ht="29" x14ac:dyDescent="0.35">
      <c r="A31" s="9" t="s">
        <v>24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1" t="s">
        <v>6</v>
      </c>
      <c r="B32" s="12">
        <v>0</v>
      </c>
      <c r="C32" s="12">
        <v>0</v>
      </c>
      <c r="D32" s="12">
        <v>0</v>
      </c>
      <c r="E32" s="14" t="s">
        <v>25</v>
      </c>
      <c r="F32" s="14" t="s">
        <v>25</v>
      </c>
      <c r="G32" s="14" t="s">
        <v>25</v>
      </c>
      <c r="H32" s="14" t="s">
        <v>25</v>
      </c>
      <c r="I32" s="14" t="s">
        <v>25</v>
      </c>
      <c r="J32" s="14" t="s">
        <v>25</v>
      </c>
      <c r="K32" s="14" t="s">
        <v>25</v>
      </c>
      <c r="L32" s="14" t="s">
        <v>25</v>
      </c>
      <c r="M32" s="14" t="s">
        <v>25</v>
      </c>
    </row>
    <row r="33" spans="1:13" x14ac:dyDescent="0.35">
      <c r="A33" s="11" t="s">
        <v>7</v>
      </c>
      <c r="B33" s="12">
        <v>5</v>
      </c>
      <c r="C33" s="12">
        <v>5</v>
      </c>
      <c r="D33" s="12">
        <v>5</v>
      </c>
      <c r="E33" s="14" t="s">
        <v>25</v>
      </c>
      <c r="F33" s="14" t="s">
        <v>25</v>
      </c>
      <c r="G33" s="14" t="s">
        <v>25</v>
      </c>
      <c r="H33" s="14" t="s">
        <v>25</v>
      </c>
      <c r="I33" s="14" t="s">
        <v>25</v>
      </c>
      <c r="J33" s="14" t="s">
        <v>25</v>
      </c>
      <c r="K33" s="14" t="s">
        <v>25</v>
      </c>
      <c r="L33" s="14" t="s">
        <v>25</v>
      </c>
      <c r="M33" s="14" t="s">
        <v>25</v>
      </c>
    </row>
    <row r="34" spans="1:13" x14ac:dyDescent="0.35">
      <c r="A34" s="11" t="s">
        <v>8</v>
      </c>
      <c r="B34" s="12">
        <v>12.5</v>
      </c>
      <c r="C34" s="12">
        <v>12.5</v>
      </c>
      <c r="D34" s="12">
        <v>12.5</v>
      </c>
      <c r="E34" s="14" t="s">
        <v>25</v>
      </c>
      <c r="F34" s="14" t="s">
        <v>25</v>
      </c>
      <c r="G34" s="14" t="s">
        <v>25</v>
      </c>
      <c r="H34" s="14" t="s">
        <v>25</v>
      </c>
      <c r="I34" s="14" t="s">
        <v>25</v>
      </c>
      <c r="J34" s="14" t="s">
        <v>25</v>
      </c>
      <c r="K34" s="14" t="s">
        <v>25</v>
      </c>
      <c r="L34" s="14" t="s">
        <v>25</v>
      </c>
      <c r="M34" s="14" t="s">
        <v>25</v>
      </c>
    </row>
    <row r="35" spans="1:13" x14ac:dyDescent="0.35">
      <c r="A35" s="11" t="s">
        <v>9</v>
      </c>
      <c r="B35" s="12">
        <v>25</v>
      </c>
      <c r="C35" s="12">
        <v>25</v>
      </c>
      <c r="D35" s="12">
        <v>25</v>
      </c>
      <c r="E35" s="14" t="s">
        <v>25</v>
      </c>
      <c r="F35" s="14" t="s">
        <v>25</v>
      </c>
      <c r="G35" s="14" t="s">
        <v>25</v>
      </c>
      <c r="H35" s="14" t="s">
        <v>25</v>
      </c>
      <c r="I35" s="14" t="s">
        <v>25</v>
      </c>
      <c r="J35" s="14" t="s">
        <v>25</v>
      </c>
      <c r="K35" s="14" t="s">
        <v>25</v>
      </c>
      <c r="L35" s="14" t="s">
        <v>25</v>
      </c>
      <c r="M35" s="14" t="s">
        <v>25</v>
      </c>
    </row>
    <row r="36" spans="1:13" x14ac:dyDescent="0.35">
      <c r="A36" s="11" t="s">
        <v>10</v>
      </c>
      <c r="B36" s="12">
        <v>50</v>
      </c>
      <c r="C36" s="12">
        <v>50</v>
      </c>
      <c r="D36" s="12">
        <v>50</v>
      </c>
      <c r="E36" s="14" t="s">
        <v>25</v>
      </c>
      <c r="F36" s="14" t="s">
        <v>25</v>
      </c>
      <c r="G36" s="14" t="s">
        <v>25</v>
      </c>
      <c r="H36" s="14" t="s">
        <v>25</v>
      </c>
      <c r="I36" s="14" t="s">
        <v>25</v>
      </c>
      <c r="J36" s="14" t="s">
        <v>25</v>
      </c>
      <c r="K36" s="14" t="s">
        <v>25</v>
      </c>
      <c r="L36" s="14" t="s">
        <v>25</v>
      </c>
      <c r="M36" s="14" t="s">
        <v>25</v>
      </c>
    </row>
    <row r="37" spans="1:13" x14ac:dyDescent="0.35">
      <c r="A37" s="11" t="s">
        <v>11</v>
      </c>
      <c r="B37" s="12">
        <v>100</v>
      </c>
      <c r="C37" s="12">
        <v>100</v>
      </c>
      <c r="D37" s="12">
        <v>100</v>
      </c>
      <c r="E37" s="14" t="s">
        <v>25</v>
      </c>
      <c r="F37" s="14" t="s">
        <v>25</v>
      </c>
      <c r="G37" s="14" t="s">
        <v>25</v>
      </c>
      <c r="H37" s="14" t="s">
        <v>25</v>
      </c>
      <c r="I37" s="14" t="s">
        <v>25</v>
      </c>
      <c r="J37" s="14" t="s">
        <v>25</v>
      </c>
      <c r="K37" s="14" t="s">
        <v>25</v>
      </c>
      <c r="L37" s="14" t="s">
        <v>25</v>
      </c>
      <c r="M37" s="14" t="s">
        <v>25</v>
      </c>
    </row>
    <row r="38" spans="1:13" x14ac:dyDescent="0.35">
      <c r="A38" s="11" t="s">
        <v>12</v>
      </c>
      <c r="B38" s="12">
        <v>100</v>
      </c>
      <c r="C38" s="12">
        <v>100</v>
      </c>
      <c r="D38" s="12">
        <v>100</v>
      </c>
      <c r="E38" s="14" t="s">
        <v>25</v>
      </c>
      <c r="F38" s="14" t="s">
        <v>25</v>
      </c>
      <c r="G38" s="14" t="s">
        <v>25</v>
      </c>
      <c r="H38" s="14" t="s">
        <v>25</v>
      </c>
      <c r="I38" s="14" t="s">
        <v>25</v>
      </c>
      <c r="J38" s="14" t="s">
        <v>25</v>
      </c>
      <c r="K38" s="14" t="s">
        <v>25</v>
      </c>
      <c r="L38" s="14" t="s">
        <v>25</v>
      </c>
      <c r="M38" s="14" t="s">
        <v>25</v>
      </c>
    </row>
    <row r="39" spans="1:13" x14ac:dyDescent="0.35">
      <c r="A39" s="11" t="s">
        <v>13</v>
      </c>
      <c r="B39" s="12">
        <v>100</v>
      </c>
      <c r="C39" s="12">
        <v>100</v>
      </c>
      <c r="D39" s="12">
        <v>100</v>
      </c>
      <c r="E39" s="14" t="s">
        <v>25</v>
      </c>
      <c r="F39" s="14" t="s">
        <v>25</v>
      </c>
      <c r="G39" s="14" t="s">
        <v>25</v>
      </c>
      <c r="H39" s="14" t="s">
        <v>25</v>
      </c>
      <c r="I39" s="14" t="s">
        <v>25</v>
      </c>
      <c r="J39" s="14" t="s">
        <v>25</v>
      </c>
      <c r="K39" s="14" t="s">
        <v>25</v>
      </c>
      <c r="L39" s="14" t="s">
        <v>25</v>
      </c>
      <c r="M39" s="1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83D6-1FEE-41EB-8783-F564F63D1103}">
  <dimension ref="A1:M39"/>
  <sheetViews>
    <sheetView tabSelected="1" workbookViewId="0">
      <selection activeCell="E14" sqref="E14"/>
    </sheetView>
  </sheetViews>
  <sheetFormatPr defaultRowHeight="14.5" x14ac:dyDescent="0.35"/>
  <cols>
    <col min="1" max="1" width="14.54296875" customWidth="1"/>
    <col min="5" max="13" width="15" customWidth="1"/>
  </cols>
  <sheetData>
    <row r="1" spans="1:13" x14ac:dyDescent="0.35">
      <c r="A1" s="4" t="s">
        <v>53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3" x14ac:dyDescent="0.35">
      <c r="A2" s="5" t="s">
        <v>6</v>
      </c>
      <c r="B2" s="2">
        <v>5.0999999999999997E-2</v>
      </c>
      <c r="C2" s="2">
        <v>5.2999999999999999E-2</v>
      </c>
      <c r="D2" s="2">
        <v>5.1999999999999998E-2</v>
      </c>
      <c r="E2" s="2">
        <v>5.5E-2</v>
      </c>
      <c r="F2" s="2">
        <v>5.5E-2</v>
      </c>
      <c r="G2" s="2">
        <v>0.06</v>
      </c>
      <c r="H2" s="2">
        <v>6.7000000000000004E-2</v>
      </c>
      <c r="I2" s="2">
        <v>6.9000000000000006E-2</v>
      </c>
      <c r="J2" s="2">
        <v>6.8000000000000005E-2</v>
      </c>
      <c r="K2" s="2">
        <v>5.6000000000000001E-2</v>
      </c>
      <c r="L2" s="2">
        <v>5.1999999999999998E-2</v>
      </c>
      <c r="M2" s="2">
        <v>5.6000000000000001E-2</v>
      </c>
    </row>
    <row r="3" spans="1:13" x14ac:dyDescent="0.35">
      <c r="A3" s="5" t="s">
        <v>7</v>
      </c>
      <c r="B3" s="2">
        <v>0.123</v>
      </c>
      <c r="C3" s="2">
        <v>0.121</v>
      </c>
      <c r="D3" s="2">
        <v>0.16200000000000001</v>
      </c>
      <c r="E3" s="2">
        <v>5.3999999999999999E-2</v>
      </c>
      <c r="F3" s="2">
        <v>5.3999999999999999E-2</v>
      </c>
      <c r="G3" s="2">
        <v>5.5E-2</v>
      </c>
      <c r="H3" s="2">
        <v>5.6000000000000001E-2</v>
      </c>
      <c r="I3" s="2">
        <v>5.1999999999999998E-2</v>
      </c>
      <c r="J3" s="2">
        <v>7.1999999999999995E-2</v>
      </c>
      <c r="K3" s="2">
        <v>5.2999999999999999E-2</v>
      </c>
      <c r="L3" s="2">
        <v>5.5E-2</v>
      </c>
      <c r="M3" s="2">
        <v>5.5E-2</v>
      </c>
    </row>
    <row r="4" spans="1:13" x14ac:dyDescent="0.35">
      <c r="A4" s="5" t="s">
        <v>8</v>
      </c>
      <c r="B4" s="2">
        <v>0.253</v>
      </c>
      <c r="C4" s="2">
        <v>0.23699999999999999</v>
      </c>
      <c r="D4" s="2">
        <v>0.26800000000000002</v>
      </c>
      <c r="E4" s="2">
        <v>5.3999999999999999E-2</v>
      </c>
      <c r="F4" s="2">
        <v>5.6000000000000001E-2</v>
      </c>
      <c r="G4" s="2">
        <v>5.8000000000000003E-2</v>
      </c>
      <c r="H4" s="2">
        <v>5.1999999999999998E-2</v>
      </c>
      <c r="I4" s="2">
        <v>5.3999999999999999E-2</v>
      </c>
      <c r="J4" s="2">
        <v>5.3999999999999999E-2</v>
      </c>
      <c r="K4" s="2">
        <v>5.1999999999999998E-2</v>
      </c>
      <c r="L4" s="2">
        <v>5.5E-2</v>
      </c>
      <c r="M4" s="2">
        <v>5.3999999999999999E-2</v>
      </c>
    </row>
    <row r="5" spans="1:13" x14ac:dyDescent="0.35">
      <c r="A5" s="5" t="s">
        <v>9</v>
      </c>
      <c r="B5" s="2">
        <v>0.44600000000000001</v>
      </c>
      <c r="C5" s="2">
        <v>0.42199999999999999</v>
      </c>
      <c r="D5" s="2">
        <v>0.443</v>
      </c>
      <c r="E5" s="2">
        <v>5.5E-2</v>
      </c>
      <c r="F5" s="2">
        <v>5.5E-2</v>
      </c>
      <c r="G5" s="2">
        <v>5.3999999999999999E-2</v>
      </c>
      <c r="H5" s="2">
        <v>5.5E-2</v>
      </c>
      <c r="I5" s="2">
        <v>5.2999999999999999E-2</v>
      </c>
      <c r="J5" s="2">
        <v>5.6000000000000001E-2</v>
      </c>
      <c r="K5" s="2">
        <v>0.05</v>
      </c>
      <c r="L5" s="2">
        <v>5.1999999999999998E-2</v>
      </c>
      <c r="M5" s="2">
        <v>5.0999999999999997E-2</v>
      </c>
    </row>
    <row r="6" spans="1:13" x14ac:dyDescent="0.35">
      <c r="A6" s="5" t="s">
        <v>10</v>
      </c>
      <c r="B6" s="2">
        <v>0.80500000000000005</v>
      </c>
      <c r="C6" s="2">
        <v>0.78300000000000003</v>
      </c>
      <c r="D6" s="2">
        <v>0.70799999999999996</v>
      </c>
      <c r="E6" s="2">
        <v>5.5E-2</v>
      </c>
      <c r="F6" s="2">
        <v>5.5E-2</v>
      </c>
      <c r="G6" s="2">
        <v>5.1999999999999998E-2</v>
      </c>
      <c r="H6" s="2">
        <v>5.6000000000000001E-2</v>
      </c>
      <c r="I6" s="2">
        <v>5.7000000000000002E-2</v>
      </c>
      <c r="J6" s="2">
        <v>5.3999999999999999E-2</v>
      </c>
      <c r="K6" s="2">
        <v>5.3999999999999999E-2</v>
      </c>
      <c r="L6" s="2">
        <v>5.3999999999999999E-2</v>
      </c>
      <c r="M6" s="2">
        <v>5.2999999999999999E-2</v>
      </c>
    </row>
    <row r="7" spans="1:13" x14ac:dyDescent="0.35">
      <c r="A7" s="5" t="s">
        <v>11</v>
      </c>
      <c r="B7" s="2">
        <v>1.6319999999999999</v>
      </c>
      <c r="C7" s="2">
        <v>1.53</v>
      </c>
      <c r="D7" s="2">
        <v>1.73</v>
      </c>
      <c r="E7" s="2">
        <v>5.2999999999999999E-2</v>
      </c>
      <c r="F7" s="2">
        <v>5.3999999999999999E-2</v>
      </c>
      <c r="G7" s="2">
        <v>5.6000000000000001E-2</v>
      </c>
      <c r="H7" s="2">
        <v>5.5E-2</v>
      </c>
      <c r="I7" s="2">
        <v>5.3999999999999999E-2</v>
      </c>
      <c r="J7" s="2">
        <v>5.8000000000000003E-2</v>
      </c>
      <c r="K7" s="2">
        <v>5.2999999999999999E-2</v>
      </c>
      <c r="L7" s="2">
        <v>5.1999999999999998E-2</v>
      </c>
      <c r="M7" s="2">
        <v>5.2999999999999999E-2</v>
      </c>
    </row>
    <row r="8" spans="1:13" x14ac:dyDescent="0.35">
      <c r="A8" s="5" t="s">
        <v>12</v>
      </c>
      <c r="B8" s="2">
        <v>1.66</v>
      </c>
      <c r="C8" s="2">
        <v>1.627</v>
      </c>
      <c r="D8" s="2">
        <v>1.7250000000000001</v>
      </c>
      <c r="E8" s="2">
        <v>5.5E-2</v>
      </c>
      <c r="F8" s="2">
        <v>5.5E-2</v>
      </c>
      <c r="G8" s="2">
        <v>5.3999999999999999E-2</v>
      </c>
      <c r="H8" s="2">
        <v>5.2999999999999999E-2</v>
      </c>
      <c r="I8" s="2">
        <v>5.2999999999999999E-2</v>
      </c>
      <c r="J8" s="2">
        <v>5.3999999999999999E-2</v>
      </c>
      <c r="K8" s="2">
        <v>5.1999999999999998E-2</v>
      </c>
      <c r="L8" s="2">
        <v>5.5E-2</v>
      </c>
      <c r="M8" s="2">
        <v>5.3999999999999999E-2</v>
      </c>
    </row>
    <row r="9" spans="1:13" x14ac:dyDescent="0.35">
      <c r="A9" s="5" t="s">
        <v>13</v>
      </c>
      <c r="B9" s="2">
        <v>1.4630000000000001</v>
      </c>
      <c r="C9" s="2">
        <v>1.516</v>
      </c>
      <c r="D9" s="2">
        <v>1.5780000000000001</v>
      </c>
      <c r="E9" s="2">
        <v>7.4999999999999997E-2</v>
      </c>
      <c r="F9" s="2">
        <v>7.8E-2</v>
      </c>
      <c r="G9" s="2">
        <v>7.3999999999999996E-2</v>
      </c>
      <c r="H9" s="2">
        <v>0.54900000000000004</v>
      </c>
      <c r="I9" s="2">
        <v>0.41499999999999998</v>
      </c>
      <c r="J9" s="2">
        <v>0.65400000000000003</v>
      </c>
      <c r="K9" s="2">
        <v>5.3999999999999999E-2</v>
      </c>
      <c r="L9" s="2">
        <v>5.1999999999999998E-2</v>
      </c>
      <c r="M9" s="2">
        <v>5.1999999999999998E-2</v>
      </c>
    </row>
    <row r="10" spans="1:13" x14ac:dyDescent="0.3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5">
      <c r="A11" s="9" t="s">
        <v>14</v>
      </c>
      <c r="B11" s="10">
        <v>1</v>
      </c>
      <c r="C11" s="10">
        <v>2</v>
      </c>
      <c r="D11" s="10">
        <v>3</v>
      </c>
      <c r="E11" s="10">
        <v>4</v>
      </c>
      <c r="F11" s="10">
        <v>5</v>
      </c>
      <c r="G11" s="10">
        <v>6</v>
      </c>
      <c r="H11" s="10">
        <v>7</v>
      </c>
      <c r="I11" s="10">
        <v>8</v>
      </c>
      <c r="J11" s="10">
        <v>9</v>
      </c>
      <c r="K11" s="10">
        <v>10</v>
      </c>
      <c r="L11" s="10">
        <v>11</v>
      </c>
      <c r="M11" s="10">
        <v>12</v>
      </c>
    </row>
    <row r="12" spans="1:13" ht="25" x14ac:dyDescent="0.35">
      <c r="A12" s="11" t="s">
        <v>6</v>
      </c>
      <c r="B12" s="12" t="s">
        <v>15</v>
      </c>
      <c r="C12" s="12" t="s">
        <v>15</v>
      </c>
      <c r="D12" s="12" t="s">
        <v>15</v>
      </c>
      <c r="E12" s="14" t="s">
        <v>27</v>
      </c>
      <c r="F12" s="14" t="s">
        <v>27</v>
      </c>
      <c r="G12" s="14" t="s">
        <v>27</v>
      </c>
      <c r="H12" s="14" t="s">
        <v>35</v>
      </c>
      <c r="I12" s="14" t="s">
        <v>35</v>
      </c>
      <c r="J12" s="14" t="s">
        <v>35</v>
      </c>
      <c r="K12" s="14" t="s">
        <v>43</v>
      </c>
      <c r="L12" s="14" t="s">
        <v>43</v>
      </c>
      <c r="M12" s="14" t="s">
        <v>43</v>
      </c>
    </row>
    <row r="13" spans="1:13" ht="25" x14ac:dyDescent="0.35">
      <c r="A13" s="11" t="s">
        <v>7</v>
      </c>
      <c r="B13" s="12" t="s">
        <v>16</v>
      </c>
      <c r="C13" s="12" t="s">
        <v>16</v>
      </c>
      <c r="D13" s="12" t="s">
        <v>16</v>
      </c>
      <c r="E13" s="14" t="s">
        <v>28</v>
      </c>
      <c r="F13" s="14" t="s">
        <v>28</v>
      </c>
      <c r="G13" s="14" t="s">
        <v>28</v>
      </c>
      <c r="H13" s="14" t="s">
        <v>36</v>
      </c>
      <c r="I13" s="14" t="s">
        <v>36</v>
      </c>
      <c r="J13" s="14" t="s">
        <v>36</v>
      </c>
      <c r="K13" s="14" t="s">
        <v>44</v>
      </c>
      <c r="L13" s="14" t="s">
        <v>44</v>
      </c>
      <c r="M13" s="14" t="s">
        <v>44</v>
      </c>
    </row>
    <row r="14" spans="1:13" ht="25" x14ac:dyDescent="0.35">
      <c r="A14" s="11" t="s">
        <v>8</v>
      </c>
      <c r="B14" s="12" t="s">
        <v>17</v>
      </c>
      <c r="C14" s="12" t="s">
        <v>17</v>
      </c>
      <c r="D14" s="12" t="s">
        <v>17</v>
      </c>
      <c r="E14" s="14" t="s">
        <v>29</v>
      </c>
      <c r="F14" s="14" t="s">
        <v>29</v>
      </c>
      <c r="G14" s="14" t="s">
        <v>29</v>
      </c>
      <c r="H14" s="14" t="s">
        <v>37</v>
      </c>
      <c r="I14" s="14" t="s">
        <v>37</v>
      </c>
      <c r="J14" s="14" t="s">
        <v>37</v>
      </c>
      <c r="K14" s="14" t="s">
        <v>45</v>
      </c>
      <c r="L14" s="14" t="s">
        <v>45</v>
      </c>
      <c r="M14" s="14" t="s">
        <v>45</v>
      </c>
    </row>
    <row r="15" spans="1:13" ht="25" x14ac:dyDescent="0.35">
      <c r="A15" s="11" t="s">
        <v>9</v>
      </c>
      <c r="B15" s="12" t="s">
        <v>18</v>
      </c>
      <c r="C15" s="12" t="s">
        <v>18</v>
      </c>
      <c r="D15" s="12" t="s">
        <v>18</v>
      </c>
      <c r="E15" s="14" t="s">
        <v>30</v>
      </c>
      <c r="F15" s="14" t="s">
        <v>30</v>
      </c>
      <c r="G15" s="14" t="s">
        <v>30</v>
      </c>
      <c r="H15" s="14" t="s">
        <v>38</v>
      </c>
      <c r="I15" s="14" t="s">
        <v>38</v>
      </c>
      <c r="J15" s="14" t="s">
        <v>38</v>
      </c>
      <c r="K15" s="14" t="s">
        <v>46</v>
      </c>
      <c r="L15" s="14" t="s">
        <v>46</v>
      </c>
      <c r="M15" s="14" t="s">
        <v>46</v>
      </c>
    </row>
    <row r="16" spans="1:13" ht="25" x14ac:dyDescent="0.35">
      <c r="A16" s="11" t="s">
        <v>10</v>
      </c>
      <c r="B16" s="12" t="s">
        <v>19</v>
      </c>
      <c r="C16" s="12" t="s">
        <v>19</v>
      </c>
      <c r="D16" s="12" t="s">
        <v>19</v>
      </c>
      <c r="E16" s="14" t="s">
        <v>31</v>
      </c>
      <c r="F16" s="14" t="s">
        <v>31</v>
      </c>
      <c r="G16" s="14" t="s">
        <v>31</v>
      </c>
      <c r="H16" s="14" t="s">
        <v>39</v>
      </c>
      <c r="I16" s="14" t="s">
        <v>39</v>
      </c>
      <c r="J16" s="14" t="s">
        <v>39</v>
      </c>
      <c r="K16" s="14" t="s">
        <v>47</v>
      </c>
      <c r="L16" s="14" t="s">
        <v>47</v>
      </c>
      <c r="M16" s="14" t="s">
        <v>47</v>
      </c>
    </row>
    <row r="17" spans="1:13" ht="25" x14ac:dyDescent="0.35">
      <c r="A17" s="11" t="s">
        <v>11</v>
      </c>
      <c r="B17" s="12" t="s">
        <v>20</v>
      </c>
      <c r="C17" s="12" t="s">
        <v>20</v>
      </c>
      <c r="D17" s="12" t="s">
        <v>20</v>
      </c>
      <c r="E17" s="18" t="s">
        <v>32</v>
      </c>
      <c r="F17" s="18" t="s">
        <v>32</v>
      </c>
      <c r="G17" s="18" t="s">
        <v>32</v>
      </c>
      <c r="H17" s="14" t="s">
        <v>40</v>
      </c>
      <c r="I17" s="14" t="s">
        <v>40</v>
      </c>
      <c r="J17" s="14" t="s">
        <v>40</v>
      </c>
      <c r="K17" s="14" t="s">
        <v>48</v>
      </c>
      <c r="L17" s="14" t="s">
        <v>48</v>
      </c>
      <c r="M17" s="14" t="s">
        <v>48</v>
      </c>
    </row>
    <row r="18" spans="1:13" ht="25" x14ac:dyDescent="0.35">
      <c r="A18" s="11" t="s">
        <v>12</v>
      </c>
      <c r="B18" s="12" t="s">
        <v>21</v>
      </c>
      <c r="C18" s="12" t="s">
        <v>21</v>
      </c>
      <c r="D18" s="12" t="s">
        <v>21</v>
      </c>
      <c r="E18" s="14" t="s">
        <v>33</v>
      </c>
      <c r="F18" s="14" t="s">
        <v>33</v>
      </c>
      <c r="G18" s="14" t="s">
        <v>33</v>
      </c>
      <c r="H18" s="14" t="s">
        <v>41</v>
      </c>
      <c r="I18" s="14" t="s">
        <v>41</v>
      </c>
      <c r="J18" s="14" t="s">
        <v>41</v>
      </c>
      <c r="K18" s="14" t="s">
        <v>49</v>
      </c>
      <c r="L18" s="14" t="s">
        <v>49</v>
      </c>
      <c r="M18" s="14" t="s">
        <v>49</v>
      </c>
    </row>
    <row r="19" spans="1:13" ht="25" x14ac:dyDescent="0.35">
      <c r="A19" s="11" t="s">
        <v>13</v>
      </c>
      <c r="B19" s="12" t="s">
        <v>22</v>
      </c>
      <c r="C19" s="12" t="s">
        <v>22</v>
      </c>
      <c r="D19" s="12" t="s">
        <v>22</v>
      </c>
      <c r="E19" s="14" t="s">
        <v>34</v>
      </c>
      <c r="F19" s="14" t="s">
        <v>34</v>
      </c>
      <c r="G19" s="14" t="s">
        <v>34</v>
      </c>
      <c r="H19" s="14" t="s">
        <v>42</v>
      </c>
      <c r="I19" s="14" t="s">
        <v>42</v>
      </c>
      <c r="J19" s="14" t="s">
        <v>42</v>
      </c>
      <c r="K19" s="14" t="s">
        <v>50</v>
      </c>
      <c r="L19" s="14" t="s">
        <v>50</v>
      </c>
      <c r="M19" s="14" t="s">
        <v>50</v>
      </c>
    </row>
    <row r="21" spans="1:13" x14ac:dyDescent="0.35">
      <c r="A21" s="13" t="s">
        <v>23</v>
      </c>
      <c r="B21" s="11">
        <v>1</v>
      </c>
      <c r="C21" s="11">
        <v>2</v>
      </c>
      <c r="D21" s="11">
        <v>3</v>
      </c>
      <c r="E21" s="11">
        <v>4</v>
      </c>
      <c r="F21" s="11">
        <v>5</v>
      </c>
      <c r="G21" s="11">
        <v>6</v>
      </c>
      <c r="H21" s="11">
        <v>7</v>
      </c>
      <c r="I21" s="11">
        <v>8</v>
      </c>
      <c r="J21" s="11">
        <v>9</v>
      </c>
      <c r="K21" s="11">
        <v>10</v>
      </c>
      <c r="L21" s="11">
        <v>11</v>
      </c>
      <c r="M21" s="11">
        <v>12</v>
      </c>
    </row>
    <row r="22" spans="1:13" x14ac:dyDescent="0.35">
      <c r="A22" s="11" t="s">
        <v>6</v>
      </c>
      <c r="B22" s="14">
        <v>1</v>
      </c>
      <c r="C22" s="14">
        <v>1</v>
      </c>
      <c r="D22" s="14">
        <v>1</v>
      </c>
      <c r="E22" s="14">
        <v>1</v>
      </c>
      <c r="F22" s="14">
        <v>1</v>
      </c>
      <c r="G22" s="14">
        <v>1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</row>
    <row r="23" spans="1:13" x14ac:dyDescent="0.35">
      <c r="A23" s="11" t="s">
        <v>7</v>
      </c>
      <c r="B23" s="14">
        <v>1</v>
      </c>
      <c r="C23" s="14">
        <v>1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</row>
    <row r="24" spans="1:13" x14ac:dyDescent="0.35">
      <c r="A24" s="11" t="s">
        <v>8</v>
      </c>
      <c r="B24" s="14">
        <v>1</v>
      </c>
      <c r="C24" s="14">
        <v>1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</row>
    <row r="25" spans="1:13" x14ac:dyDescent="0.35">
      <c r="A25" s="11" t="s">
        <v>9</v>
      </c>
      <c r="B25" s="14">
        <v>1</v>
      </c>
      <c r="C25" s="14">
        <v>1</v>
      </c>
      <c r="D25" s="14">
        <v>1</v>
      </c>
      <c r="E25" s="14">
        <v>1</v>
      </c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</row>
    <row r="26" spans="1:13" x14ac:dyDescent="0.35">
      <c r="A26" s="11" t="s">
        <v>10</v>
      </c>
      <c r="B26" s="14">
        <v>1</v>
      </c>
      <c r="C26" s="14">
        <v>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</row>
    <row r="27" spans="1:13" x14ac:dyDescent="0.35">
      <c r="A27" s="11" t="s">
        <v>11</v>
      </c>
      <c r="B27" s="14">
        <v>1</v>
      </c>
      <c r="C27" s="14">
        <v>1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</row>
    <row r="28" spans="1:13" x14ac:dyDescent="0.35">
      <c r="A28" s="11" t="s">
        <v>12</v>
      </c>
      <c r="B28" s="14">
        <v>1</v>
      </c>
      <c r="C28" s="14">
        <v>1</v>
      </c>
      <c r="D28" s="14">
        <v>1</v>
      </c>
      <c r="E28" s="14">
        <v>1</v>
      </c>
      <c r="F28" s="14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</row>
    <row r="29" spans="1:13" x14ac:dyDescent="0.35">
      <c r="A29" s="11" t="s">
        <v>13</v>
      </c>
      <c r="B29" s="14">
        <v>1</v>
      </c>
      <c r="C29" s="14">
        <v>1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</row>
    <row r="30" spans="1:13" x14ac:dyDescent="0.35"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9" t="s">
        <v>24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1" t="s">
        <v>6</v>
      </c>
      <c r="B32" s="12">
        <v>0</v>
      </c>
      <c r="C32" s="12">
        <v>0</v>
      </c>
      <c r="D32" s="12">
        <v>0</v>
      </c>
      <c r="E32" s="14" t="s">
        <v>25</v>
      </c>
      <c r="F32" s="14" t="s">
        <v>25</v>
      </c>
      <c r="G32" s="14" t="s">
        <v>25</v>
      </c>
      <c r="H32" s="14" t="s">
        <v>25</v>
      </c>
      <c r="I32" s="14" t="s">
        <v>25</v>
      </c>
      <c r="J32" s="14" t="s">
        <v>25</v>
      </c>
      <c r="K32" s="14" t="s">
        <v>25</v>
      </c>
      <c r="L32" s="14" t="s">
        <v>25</v>
      </c>
      <c r="M32" s="14" t="s">
        <v>25</v>
      </c>
    </row>
    <row r="33" spans="1:13" x14ac:dyDescent="0.35">
      <c r="A33" s="11" t="s">
        <v>7</v>
      </c>
      <c r="B33" s="12">
        <v>5</v>
      </c>
      <c r="C33" s="12">
        <v>5</v>
      </c>
      <c r="D33" s="12">
        <v>5</v>
      </c>
      <c r="E33" s="14" t="s">
        <v>25</v>
      </c>
      <c r="F33" s="14" t="s">
        <v>25</v>
      </c>
      <c r="G33" s="14" t="s">
        <v>25</v>
      </c>
      <c r="H33" s="14" t="s">
        <v>25</v>
      </c>
      <c r="I33" s="14" t="s">
        <v>25</v>
      </c>
      <c r="J33" s="14" t="s">
        <v>25</v>
      </c>
      <c r="K33" s="14" t="s">
        <v>25</v>
      </c>
      <c r="L33" s="14" t="s">
        <v>25</v>
      </c>
      <c r="M33" s="14" t="s">
        <v>25</v>
      </c>
    </row>
    <row r="34" spans="1:13" x14ac:dyDescent="0.35">
      <c r="A34" s="11" t="s">
        <v>8</v>
      </c>
      <c r="B34" s="12">
        <v>12.5</v>
      </c>
      <c r="C34" s="12">
        <v>12.5</v>
      </c>
      <c r="D34" s="12">
        <v>12.5</v>
      </c>
      <c r="E34" s="14" t="s">
        <v>25</v>
      </c>
      <c r="F34" s="14" t="s">
        <v>25</v>
      </c>
      <c r="G34" s="14" t="s">
        <v>25</v>
      </c>
      <c r="H34" s="14" t="s">
        <v>25</v>
      </c>
      <c r="I34" s="14" t="s">
        <v>25</v>
      </c>
      <c r="J34" s="14" t="s">
        <v>25</v>
      </c>
      <c r="K34" s="14" t="s">
        <v>25</v>
      </c>
      <c r="L34" s="14" t="s">
        <v>25</v>
      </c>
      <c r="M34" s="14" t="s">
        <v>25</v>
      </c>
    </row>
    <row r="35" spans="1:13" x14ac:dyDescent="0.35">
      <c r="A35" s="11" t="s">
        <v>9</v>
      </c>
      <c r="B35" s="12">
        <v>25</v>
      </c>
      <c r="C35" s="12">
        <v>25</v>
      </c>
      <c r="D35" s="12">
        <v>25</v>
      </c>
      <c r="E35" s="14" t="s">
        <v>25</v>
      </c>
      <c r="F35" s="14" t="s">
        <v>25</v>
      </c>
      <c r="G35" s="14" t="s">
        <v>25</v>
      </c>
      <c r="H35" s="14" t="s">
        <v>25</v>
      </c>
      <c r="I35" s="14" t="s">
        <v>25</v>
      </c>
      <c r="J35" s="14" t="s">
        <v>25</v>
      </c>
      <c r="K35" s="14" t="s">
        <v>25</v>
      </c>
      <c r="L35" s="14" t="s">
        <v>25</v>
      </c>
      <c r="M35" s="14" t="s">
        <v>25</v>
      </c>
    </row>
    <row r="36" spans="1:13" x14ac:dyDescent="0.35">
      <c r="A36" s="11" t="s">
        <v>10</v>
      </c>
      <c r="B36" s="12">
        <v>50</v>
      </c>
      <c r="C36" s="12">
        <v>50</v>
      </c>
      <c r="D36" s="12">
        <v>50</v>
      </c>
      <c r="E36" s="14" t="s">
        <v>25</v>
      </c>
      <c r="F36" s="14" t="s">
        <v>25</v>
      </c>
      <c r="G36" s="14" t="s">
        <v>25</v>
      </c>
      <c r="H36" s="14" t="s">
        <v>25</v>
      </c>
      <c r="I36" s="14" t="s">
        <v>25</v>
      </c>
      <c r="J36" s="14" t="s">
        <v>25</v>
      </c>
      <c r="K36" s="14" t="s">
        <v>25</v>
      </c>
      <c r="L36" s="14" t="s">
        <v>25</v>
      </c>
      <c r="M36" s="14" t="s">
        <v>25</v>
      </c>
    </row>
    <row r="37" spans="1:13" x14ac:dyDescent="0.35">
      <c r="A37" s="11" t="s">
        <v>11</v>
      </c>
      <c r="B37" s="12">
        <v>100</v>
      </c>
      <c r="C37" s="12">
        <v>100</v>
      </c>
      <c r="D37" s="12">
        <v>100</v>
      </c>
      <c r="E37" s="14" t="s">
        <v>25</v>
      </c>
      <c r="F37" s="14" t="s">
        <v>25</v>
      </c>
      <c r="G37" s="14" t="s">
        <v>25</v>
      </c>
      <c r="H37" s="14" t="s">
        <v>25</v>
      </c>
      <c r="I37" s="14" t="s">
        <v>25</v>
      </c>
      <c r="J37" s="14" t="s">
        <v>25</v>
      </c>
      <c r="K37" s="14" t="s">
        <v>25</v>
      </c>
      <c r="L37" s="14" t="s">
        <v>25</v>
      </c>
      <c r="M37" s="14" t="s">
        <v>25</v>
      </c>
    </row>
    <row r="38" spans="1:13" x14ac:dyDescent="0.35">
      <c r="A38" s="11" t="s">
        <v>12</v>
      </c>
      <c r="B38" s="12">
        <v>100</v>
      </c>
      <c r="C38" s="12">
        <v>100</v>
      </c>
      <c r="D38" s="12">
        <v>100</v>
      </c>
      <c r="E38" s="14" t="s">
        <v>25</v>
      </c>
      <c r="F38" s="14" t="s">
        <v>25</v>
      </c>
      <c r="G38" s="14" t="s">
        <v>25</v>
      </c>
      <c r="H38" s="14" t="s">
        <v>25</v>
      </c>
      <c r="I38" s="14" t="s">
        <v>25</v>
      </c>
      <c r="J38" s="14" t="s">
        <v>25</v>
      </c>
      <c r="K38" s="14" t="s">
        <v>25</v>
      </c>
      <c r="L38" s="14" t="s">
        <v>25</v>
      </c>
      <c r="M38" s="14" t="s">
        <v>25</v>
      </c>
    </row>
    <row r="39" spans="1:13" x14ac:dyDescent="0.35">
      <c r="A39" s="11" t="s">
        <v>13</v>
      </c>
      <c r="B39" s="12">
        <v>100</v>
      </c>
      <c r="C39" s="12">
        <v>100</v>
      </c>
      <c r="D39" s="12">
        <v>100</v>
      </c>
      <c r="E39" s="14" t="s">
        <v>25</v>
      </c>
      <c r="F39" s="14" t="s">
        <v>25</v>
      </c>
      <c r="G39" s="14" t="s">
        <v>25</v>
      </c>
      <c r="H39" s="14" t="s">
        <v>25</v>
      </c>
      <c r="I39" s="14" t="s">
        <v>25</v>
      </c>
      <c r="J39" s="14" t="s">
        <v>25</v>
      </c>
      <c r="K39" s="14" t="s">
        <v>25</v>
      </c>
      <c r="L39" s="14" t="s">
        <v>25</v>
      </c>
      <c r="M39" s="14" t="s">
        <v>25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STDs chk</vt:lpstr>
      <vt:lpstr>Paste</vt:lpstr>
      <vt:lpstr>Standards</vt:lpstr>
      <vt:lpstr>Plate1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Ashleigh Montgomery (Student)</cp:lastModifiedBy>
  <dcterms:created xsi:type="dcterms:W3CDTF">2023-06-09T14:54:06Z</dcterms:created>
  <dcterms:modified xsi:type="dcterms:W3CDTF">2025-11-03T18:22:57Z</dcterms:modified>
</cp:coreProperties>
</file>