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Porewater/processing_scripts/Iron/2025/Raw Data/"/>
    </mc:Choice>
  </mc:AlternateContent>
  <xr:revisionPtr revIDLastSave="0" documentId="13_ncr:1_{71D42D41-656A-44DB-963C-9AEE115DD391}" xr6:coauthVersionLast="47" xr6:coauthVersionMax="47" xr10:uidLastSave="{00000000-0000-0000-0000-000000000000}"/>
  <bookViews>
    <workbookView xWindow="-19320" yWindow="690" windowWidth="19440" windowHeight="14880" xr2:uid="{B877AFA5-73C1-4E2B-B426-AB7E2245D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Y3" i="1"/>
  <c r="O22" i="1"/>
  <c r="P18" i="1"/>
  <c r="Q18" i="1"/>
  <c r="R18" i="1"/>
  <c r="S18" i="1"/>
  <c r="T18" i="1"/>
  <c r="U18" i="1"/>
  <c r="V18" i="1"/>
  <c r="W18" i="1"/>
  <c r="X18" i="1"/>
  <c r="Y18" i="1"/>
  <c r="Z18" i="1"/>
  <c r="O18" i="1"/>
  <c r="P13" i="1"/>
  <c r="P22" i="1" s="1"/>
  <c r="Q13" i="1"/>
  <c r="Q22" i="1" s="1"/>
  <c r="R13" i="1"/>
  <c r="R22" i="1" s="1"/>
  <c r="S13" i="1"/>
  <c r="S22" i="1" s="1"/>
  <c r="T13" i="1"/>
  <c r="T22" i="1" s="1"/>
  <c r="U13" i="1"/>
  <c r="U22" i="1" s="1"/>
  <c r="V13" i="1"/>
  <c r="V22" i="1" s="1"/>
  <c r="W13" i="1"/>
  <c r="W22" i="1" s="1"/>
  <c r="X13" i="1"/>
  <c r="Z13" i="1"/>
  <c r="O13" i="1"/>
  <c r="P8" i="1"/>
  <c r="Q8" i="1"/>
  <c r="R8" i="1"/>
  <c r="S8" i="1"/>
  <c r="T8" i="1"/>
  <c r="U8" i="1"/>
  <c r="V8" i="1"/>
  <c r="W8" i="1"/>
  <c r="X8" i="1"/>
  <c r="Y8" i="1"/>
  <c r="Z8" i="1"/>
  <c r="O8" i="1"/>
  <c r="P3" i="1"/>
  <c r="Q3" i="1"/>
  <c r="R3" i="1"/>
  <c r="S3" i="1"/>
  <c r="T3" i="1"/>
  <c r="U3" i="1"/>
  <c r="V3" i="1"/>
  <c r="W3" i="1"/>
  <c r="X3" i="1"/>
  <c r="X22" i="1" s="1"/>
  <c r="Z3" i="1"/>
  <c r="O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<sst xmlns="http://schemas.openxmlformats.org/spreadsheetml/2006/main" count="16" uniqueCount="8">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</sst>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Run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143044619422569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3.8666666666666662E-2</c:v>
                </c:pt>
                <c:pt idx="1">
                  <c:v>3.9666666666666663E-2</c:v>
                </c:pt>
                <c:pt idx="2">
                  <c:v>4.6666666666666669E-2</c:v>
                </c:pt>
                <c:pt idx="3">
                  <c:v>5.2999999999999999E-2</c:v>
                </c:pt>
                <c:pt idx="4">
                  <c:v>6.3666666666666663E-2</c:v>
                </c:pt>
                <c:pt idx="5">
                  <c:v>8.5666666666666669E-2</c:v>
                </c:pt>
                <c:pt idx="6">
                  <c:v>0.124</c:v>
                </c:pt>
                <c:pt idx="7">
                  <c:v>0.16366666666666665</c:v>
                </c:pt>
                <c:pt idx="8">
                  <c:v>0.20766666666666667</c:v>
                </c:pt>
                <c:pt idx="9">
                  <c:v>0.29133333333333339</c:v>
                </c:pt>
                <c:pt idx="10">
                  <c:v>0.62450000000000006</c:v>
                </c:pt>
                <c:pt idx="11">
                  <c:v>1.0726666666666667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9-49DE-9F3B-BD48C4644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088200"/>
        <c:axId val="438092136"/>
      </c:scatterChart>
      <c:valAx>
        <c:axId val="438088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092136"/>
        <c:crosses val="autoZero"/>
        <c:crossBetween val="midCat"/>
      </c:valAx>
      <c:valAx>
        <c:axId val="43809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088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 3 Run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365266841644792E-2"/>
                  <c:y val="-4.72466462525517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3.9333333333333331E-2</c:v>
                </c:pt>
                <c:pt idx="1">
                  <c:v>4.1000000000000002E-2</c:v>
                </c:pt>
                <c:pt idx="2">
                  <c:v>4.4666666666666667E-2</c:v>
                </c:pt>
                <c:pt idx="3">
                  <c:v>4.9666666666666671E-2</c:v>
                </c:pt>
                <c:pt idx="4">
                  <c:v>5.5333333333333339E-2</c:v>
                </c:pt>
                <c:pt idx="5">
                  <c:v>7.166666666666667E-2</c:v>
                </c:pt>
                <c:pt idx="6">
                  <c:v>9.2000000000000012E-2</c:v>
                </c:pt>
                <c:pt idx="7">
                  <c:v>0.11399999999999999</c:v>
                </c:pt>
                <c:pt idx="8">
                  <c:v>0.15066666666666664</c:v>
                </c:pt>
                <c:pt idx="9">
                  <c:v>0.20166666666666666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6E-41B0-AE64-B9AD6EC39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111160"/>
        <c:axId val="438103944"/>
      </c:scatterChart>
      <c:valAx>
        <c:axId val="438111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03944"/>
        <c:crosses val="autoZero"/>
        <c:crossBetween val="midCat"/>
      </c:valAx>
      <c:valAx>
        <c:axId val="43810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11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 2 Run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476377952755905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4.1000000000000002E-2</c:v>
                </c:pt>
                <c:pt idx="1">
                  <c:v>4.1333333333333333E-2</c:v>
                </c:pt>
                <c:pt idx="2">
                  <c:v>5.2666666666666667E-2</c:v>
                </c:pt>
                <c:pt idx="3">
                  <c:v>6.433333333333334E-2</c:v>
                </c:pt>
                <c:pt idx="4">
                  <c:v>7.9666666666666663E-2</c:v>
                </c:pt>
                <c:pt idx="5">
                  <c:v>0.11866666666666666</c:v>
                </c:pt>
                <c:pt idx="6">
                  <c:v>0.17466666666666666</c:v>
                </c:pt>
                <c:pt idx="7">
                  <c:v>0.23266666666666666</c:v>
                </c:pt>
                <c:pt idx="8">
                  <c:v>0.31233333333333335</c:v>
                </c:pt>
                <c:pt idx="9">
                  <c:v>0.44133333333333336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D5-4608-9DD3-83CAD9B19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63720"/>
        <c:axId val="508757160"/>
      </c:scatterChart>
      <c:valAx>
        <c:axId val="508763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57160"/>
        <c:crosses val="autoZero"/>
        <c:crossBetween val="midCat"/>
      </c:valAx>
      <c:valAx>
        <c:axId val="50875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63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</a:t>
            </a:r>
            <a:r>
              <a:rPr lang="en-US" baseline="0"/>
              <a:t> Run 2  - Fe2 Run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5587489063867022E-2"/>
                  <c:y val="-1.23173665791776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Sheet1!$O$21:$X$21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Sheet1!$O$22:$X$22</c:f>
              <c:numCache>
                <c:formatCode>General</c:formatCode>
                <c:ptCount val="10"/>
                <c:pt idx="0">
                  <c:v>2.33333333333334E-3</c:v>
                </c:pt>
                <c:pt idx="1">
                  <c:v>1.6666666666666705E-3</c:v>
                </c:pt>
                <c:pt idx="2">
                  <c:v>5.9999999999999984E-3</c:v>
                </c:pt>
                <c:pt idx="3">
                  <c:v>1.1333333333333341E-2</c:v>
                </c:pt>
                <c:pt idx="4">
                  <c:v>1.6E-2</c:v>
                </c:pt>
                <c:pt idx="5">
                  <c:v>3.2999999999999988E-2</c:v>
                </c:pt>
                <c:pt idx="6">
                  <c:v>5.0666666666666665E-2</c:v>
                </c:pt>
                <c:pt idx="7">
                  <c:v>6.9000000000000006E-2</c:v>
                </c:pt>
                <c:pt idx="8">
                  <c:v>0.10466666666666669</c:v>
                </c:pt>
                <c:pt idx="9">
                  <c:v>0.14999999999999997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C-4E70-A098-368F0F4D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763064"/>
        <c:axId val="508764376"/>
      </c:scatterChart>
      <c:valAx>
        <c:axId val="508763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64376"/>
        <c:crosses val="autoZero"/>
        <c:crossBetween val="midCat"/>
      </c:valAx>
      <c:valAx>
        <c:axId val="50876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763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22</xdr:row>
      <xdr:rowOff>128587</xdr:rowOff>
    </xdr:from>
    <xdr:to>
      <xdr:col>8</xdr:col>
      <xdr:colOff>323850</xdr:colOff>
      <xdr:row>37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A3A276-1C28-4DA1-AE54-3EA57D0E4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571500</xdr:colOff>
      <xdr:row>22</xdr:row>
      <xdr:rowOff>147637</xdr:rowOff>
    </xdr:from>
    <xdr:to>
      <xdr:col>26</xdr:col>
      <xdr:colOff>266700</xdr:colOff>
      <xdr:row>37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0E5D3-CD42-466C-BDFB-F93FA0DBE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219075</xdr:colOff>
      <xdr:row>22</xdr:row>
      <xdr:rowOff>119062</xdr:rowOff>
    </xdr:from>
    <xdr:to>
      <xdr:col>17</xdr:col>
      <xdr:colOff>523875</xdr:colOff>
      <xdr:row>37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269A75-22C8-4492-A671-2A0967FF2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523875</xdr:colOff>
      <xdr:row>37</xdr:row>
      <xdr:rowOff>176212</xdr:rowOff>
    </xdr:from>
    <xdr:to>
      <xdr:col>13</xdr:col>
      <xdr:colOff>219075</xdr:colOff>
      <xdr:row>52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AE0B12-65F1-4357-8723-CCE2080ED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6F58-F0A1-4987-9747-F4AFC8869199}">
  <dimension ref="A1:Z22"/>
  <sheetViews>
    <sheetView tabSelected="1" workbookViewId="0">
      <selection activeCell="B12" sqref="B12:M19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3.7999999999999999E-2</v>
      </c>
      <c r="C2" s="3">
        <v>3.9E-2</v>
      </c>
      <c r="D2" s="3">
        <v>4.5999999999999999E-2</v>
      </c>
      <c r="E2" s="3">
        <v>4.9000000000000002E-2</v>
      </c>
      <c r="F2" s="3">
        <v>6.3E-2</v>
      </c>
      <c r="G2" s="3">
        <v>7.8E-2</v>
      </c>
      <c r="H2" s="3">
        <v>0.126</v>
      </c>
      <c r="I2" s="3">
        <v>0.161</v>
      </c>
      <c r="J2" s="3">
        <v>0.20699999999999999</v>
      </c>
      <c r="K2" s="3">
        <v>0.27800000000000002</v>
      </c>
      <c r="L2" s="3">
        <v>0.73799999999999999</v>
      </c>
      <c r="M2" s="3">
        <v>1.1679999999999999</v>
      </c>
      <c r="N2" s="4">
        <v>562</v>
      </c>
      <c r="O2">
        <v>0</v>
      </c>
      <c r="P2">
        <v>0.6</v>
      </c>
      <c r="Q2">
        <v>3</v>
      </c>
      <c r="R2">
        <v>6</v>
      </c>
      <c r="S2">
        <v>9</v>
      </c>
      <c r="T2">
        <v>18</v>
      </c>
      <c r="U2">
        <v>30</v>
      </c>
      <c r="V2">
        <v>45</v>
      </c>
      <c r="W2">
        <v>60</v>
      </c>
      <c r="X2">
        <v>100</v>
      </c>
      <c r="Y2">
        <v>250</v>
      </c>
      <c r="Z2">
        <v>500</v>
      </c>
    </row>
    <row r="3" spans="1:26" x14ac:dyDescent="0.25">
      <c r="A3" s="2" t="s">
        <v>1</v>
      </c>
      <c r="B3" s="3">
        <v>3.7999999999999999E-2</v>
      </c>
      <c r="C3" s="3">
        <v>0.04</v>
      </c>
      <c r="D3" s="3">
        <v>4.5999999999999999E-2</v>
      </c>
      <c r="E3" s="3">
        <v>5.3999999999999999E-2</v>
      </c>
      <c r="F3" s="3">
        <v>6.4000000000000001E-2</v>
      </c>
      <c r="G3" s="3">
        <v>9.0999999999999998E-2</v>
      </c>
      <c r="H3" s="3">
        <v>0.129</v>
      </c>
      <c r="I3" s="3">
        <v>0.17399999999999999</v>
      </c>
      <c r="J3" s="3">
        <v>0.216</v>
      </c>
      <c r="K3" s="3">
        <v>0.27500000000000002</v>
      </c>
      <c r="L3" s="3">
        <v>0.59199999999999997</v>
      </c>
      <c r="M3" s="3">
        <v>1.036</v>
      </c>
      <c r="N3" s="4">
        <v>562</v>
      </c>
      <c r="O3">
        <f>AVERAGE(B2:B4)</f>
        <v>3.8666666666666662E-2</v>
      </c>
      <c r="P3" s="5">
        <f t="shared" ref="P3:Z3" si="0">AVERAGE(C2:C4)</f>
        <v>3.9666666666666663E-2</v>
      </c>
      <c r="Q3" s="5">
        <f t="shared" si="0"/>
        <v>4.6666666666666669E-2</v>
      </c>
      <c r="R3" s="5">
        <f t="shared" si="0"/>
        <v>5.2999999999999999E-2</v>
      </c>
      <c r="S3" s="5">
        <f t="shared" si="0"/>
        <v>6.3666666666666663E-2</v>
      </c>
      <c r="T3" s="5">
        <f t="shared" si="0"/>
        <v>8.5666666666666669E-2</v>
      </c>
      <c r="U3" s="5">
        <f t="shared" si="0"/>
        <v>0.124</v>
      </c>
      <c r="V3" s="5">
        <f t="shared" si="0"/>
        <v>0.16366666666666665</v>
      </c>
      <c r="W3" s="5">
        <f t="shared" si="0"/>
        <v>0.20766666666666667</v>
      </c>
      <c r="X3" s="5">
        <f t="shared" si="0"/>
        <v>0.29133333333333339</v>
      </c>
      <c r="Y3" s="5">
        <f>AVERAGE(L3:L4)</f>
        <v>0.62450000000000006</v>
      </c>
      <c r="Z3" s="5">
        <f t="shared" si="0"/>
        <v>1.0726666666666667</v>
      </c>
    </row>
    <row r="4" spans="1:26" x14ac:dyDescent="0.25">
      <c r="A4" s="2" t="s">
        <v>2</v>
      </c>
      <c r="B4" s="3">
        <v>0.04</v>
      </c>
      <c r="C4" s="3">
        <v>0.04</v>
      </c>
      <c r="D4" s="3">
        <v>4.8000000000000001E-2</v>
      </c>
      <c r="E4" s="3">
        <v>5.6000000000000001E-2</v>
      </c>
      <c r="F4" s="3">
        <v>6.4000000000000001E-2</v>
      </c>
      <c r="G4" s="3">
        <v>8.7999999999999995E-2</v>
      </c>
      <c r="H4" s="3">
        <v>0.11700000000000001</v>
      </c>
      <c r="I4" s="3">
        <v>0.156</v>
      </c>
      <c r="J4" s="3">
        <v>0.2</v>
      </c>
      <c r="K4" s="3">
        <v>0.32100000000000001</v>
      </c>
      <c r="L4" s="3">
        <v>0.65700000000000003</v>
      </c>
      <c r="M4" s="3">
        <v>1.014</v>
      </c>
      <c r="N4" s="4">
        <v>562</v>
      </c>
    </row>
    <row r="5" spans="1:26" x14ac:dyDescent="0.25">
      <c r="A5" s="2" t="s">
        <v>3</v>
      </c>
      <c r="B5" s="3">
        <v>0.04</v>
      </c>
      <c r="C5" s="3">
        <v>0.04</v>
      </c>
      <c r="D5" s="3">
        <v>0.04</v>
      </c>
      <c r="E5" s="3">
        <v>0.04</v>
      </c>
      <c r="F5" s="3">
        <v>0.04</v>
      </c>
      <c r="G5" s="3">
        <v>0.04</v>
      </c>
      <c r="H5" s="3">
        <v>0.04</v>
      </c>
      <c r="I5" s="3">
        <v>0.04</v>
      </c>
      <c r="J5" s="3">
        <v>0.04</v>
      </c>
      <c r="K5" s="3">
        <v>4.8000000000000001E-2</v>
      </c>
      <c r="L5" s="3">
        <v>4.8000000000000001E-2</v>
      </c>
      <c r="M5" s="3">
        <v>4.8000000000000001E-2</v>
      </c>
      <c r="N5" s="4">
        <v>562</v>
      </c>
    </row>
    <row r="6" spans="1:26" x14ac:dyDescent="0.25">
      <c r="A6" s="2" t="s">
        <v>4</v>
      </c>
      <c r="B6" s="3">
        <v>3.7999999999999999E-2</v>
      </c>
      <c r="C6" s="3">
        <v>3.9E-2</v>
      </c>
      <c r="D6" s="3">
        <v>3.7999999999999999E-2</v>
      </c>
      <c r="E6" s="3">
        <v>3.7999999999999999E-2</v>
      </c>
      <c r="F6" s="3">
        <v>3.9E-2</v>
      </c>
      <c r="G6" s="3">
        <v>4.1000000000000002E-2</v>
      </c>
      <c r="H6" s="3">
        <v>3.9E-2</v>
      </c>
      <c r="I6" s="3">
        <v>3.9E-2</v>
      </c>
      <c r="J6" s="3">
        <v>3.9E-2</v>
      </c>
      <c r="K6" s="3">
        <v>4.9000000000000002E-2</v>
      </c>
      <c r="L6" s="3">
        <v>4.8000000000000001E-2</v>
      </c>
      <c r="M6" s="3">
        <v>4.8000000000000001E-2</v>
      </c>
      <c r="N6" s="4">
        <v>562</v>
      </c>
    </row>
    <row r="7" spans="1:26" x14ac:dyDescent="0.25">
      <c r="A7" s="2" t="s">
        <v>5</v>
      </c>
      <c r="B7" s="3">
        <v>3.7999999999999999E-2</v>
      </c>
      <c r="C7" s="3">
        <v>4.2999999999999997E-2</v>
      </c>
      <c r="D7" s="3">
        <v>3.9E-2</v>
      </c>
      <c r="E7" s="3">
        <v>3.9E-2</v>
      </c>
      <c r="F7" s="3">
        <v>0.04</v>
      </c>
      <c r="G7" s="3">
        <v>3.9E-2</v>
      </c>
      <c r="H7" s="3">
        <v>3.9E-2</v>
      </c>
      <c r="I7" s="3">
        <v>0.04</v>
      </c>
      <c r="J7" s="3">
        <v>0.04</v>
      </c>
      <c r="K7" s="3">
        <v>0.04</v>
      </c>
      <c r="L7" s="3">
        <v>4.1000000000000002E-2</v>
      </c>
      <c r="M7" s="3">
        <v>4.2000000000000003E-2</v>
      </c>
      <c r="N7" s="4">
        <v>562</v>
      </c>
      <c r="O7">
        <v>0</v>
      </c>
      <c r="P7">
        <v>0.6</v>
      </c>
      <c r="Q7">
        <v>3</v>
      </c>
      <c r="R7">
        <v>6</v>
      </c>
      <c r="S7">
        <v>9</v>
      </c>
      <c r="T7">
        <v>18</v>
      </c>
      <c r="U7">
        <v>30</v>
      </c>
      <c r="V7">
        <v>45</v>
      </c>
      <c r="W7">
        <v>60</v>
      </c>
      <c r="X7">
        <v>100</v>
      </c>
      <c r="Y7">
        <v>250</v>
      </c>
      <c r="Z7">
        <v>500</v>
      </c>
    </row>
    <row r="8" spans="1:26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3.9E-2</v>
      </c>
      <c r="F8" s="3">
        <v>3.9E-2</v>
      </c>
      <c r="G8" s="3">
        <v>3.9E-2</v>
      </c>
      <c r="H8" s="3">
        <v>3.9E-2</v>
      </c>
      <c r="I8" s="3">
        <v>0.04</v>
      </c>
      <c r="J8" s="3">
        <v>0.04</v>
      </c>
      <c r="K8" s="3">
        <v>0.04</v>
      </c>
      <c r="L8" s="3">
        <v>4.2000000000000003E-2</v>
      </c>
      <c r="M8" s="3">
        <v>4.2000000000000003E-2</v>
      </c>
      <c r="N8" s="4">
        <v>562</v>
      </c>
      <c r="O8">
        <f>AVERAGE(B7:B9)</f>
        <v>3.7999999999999999E-2</v>
      </c>
      <c r="P8" s="5">
        <f t="shared" ref="P8:Z8" si="1">AVERAGE(C7:C9)</f>
        <v>0.04</v>
      </c>
      <c r="Q8" s="5">
        <f t="shared" si="1"/>
        <v>3.8666666666666662E-2</v>
      </c>
      <c r="R8" s="5">
        <f t="shared" si="1"/>
        <v>3.9E-2</v>
      </c>
      <c r="S8" s="5">
        <f t="shared" si="1"/>
        <v>3.9333333333333331E-2</v>
      </c>
      <c r="T8" s="5">
        <f t="shared" si="1"/>
        <v>3.9E-2</v>
      </c>
      <c r="U8" s="5">
        <f t="shared" si="1"/>
        <v>3.9E-2</v>
      </c>
      <c r="V8" s="5">
        <f t="shared" si="1"/>
        <v>0.04</v>
      </c>
      <c r="W8" s="5">
        <f t="shared" si="1"/>
        <v>4.1666666666666664E-2</v>
      </c>
      <c r="X8" s="5">
        <f t="shared" si="1"/>
        <v>4.0333333333333332E-2</v>
      </c>
      <c r="Y8" s="5">
        <f t="shared" si="1"/>
        <v>4.1666666666666664E-2</v>
      </c>
      <c r="Z8" s="5">
        <f t="shared" si="1"/>
        <v>4.2000000000000003E-2</v>
      </c>
    </row>
    <row r="9" spans="1:26" x14ac:dyDescent="0.25">
      <c r="A9" s="2" t="s">
        <v>7</v>
      </c>
      <c r="B9" s="3">
        <v>3.7999999999999999E-2</v>
      </c>
      <c r="C9" s="3">
        <v>3.9E-2</v>
      </c>
      <c r="D9" s="3">
        <v>3.9E-2</v>
      </c>
      <c r="E9" s="3">
        <v>3.9E-2</v>
      </c>
      <c r="F9" s="3">
        <v>3.9E-2</v>
      </c>
      <c r="G9" s="3">
        <v>3.9E-2</v>
      </c>
      <c r="H9" s="3">
        <v>3.9E-2</v>
      </c>
      <c r="I9" s="3">
        <v>0.04</v>
      </c>
      <c r="J9" s="3">
        <v>4.4999999999999998E-2</v>
      </c>
      <c r="K9" s="3">
        <v>4.1000000000000002E-2</v>
      </c>
      <c r="L9" s="3">
        <v>4.2000000000000003E-2</v>
      </c>
      <c r="M9" s="3">
        <v>4.2000000000000003E-2</v>
      </c>
      <c r="N9" s="4">
        <v>562</v>
      </c>
    </row>
    <row r="11" spans="1:26" x14ac:dyDescent="0.25">
      <c r="A11" s="7"/>
      <c r="B11" s="8">
        <v>1</v>
      </c>
      <c r="C11" s="8">
        <v>2</v>
      </c>
      <c r="D11" s="8">
        <v>3</v>
      </c>
      <c r="E11" s="8">
        <v>4</v>
      </c>
      <c r="F11" s="8">
        <v>5</v>
      </c>
      <c r="G11" s="8">
        <v>6</v>
      </c>
      <c r="H11" s="8">
        <v>7</v>
      </c>
      <c r="I11" s="8">
        <v>8</v>
      </c>
      <c r="J11" s="8">
        <v>9</v>
      </c>
      <c r="K11" s="8">
        <v>10</v>
      </c>
      <c r="L11" s="8">
        <v>11</v>
      </c>
      <c r="M11" s="8">
        <v>12</v>
      </c>
    </row>
    <row r="12" spans="1:26" x14ac:dyDescent="0.25">
      <c r="A12" s="8" t="s">
        <v>0</v>
      </c>
      <c r="B12" s="9">
        <v>4.2000000000000003E-2</v>
      </c>
      <c r="C12" s="9">
        <v>4.1000000000000002E-2</v>
      </c>
      <c r="D12" s="9">
        <v>5.2999999999999999E-2</v>
      </c>
      <c r="E12" s="9">
        <v>6.2E-2</v>
      </c>
      <c r="F12" s="9">
        <v>7.9000000000000001E-2</v>
      </c>
      <c r="G12" s="9">
        <v>0.11700000000000001</v>
      </c>
      <c r="H12" s="9">
        <v>0.17299999999999999</v>
      </c>
      <c r="I12" s="9">
        <v>0.22900000000000001</v>
      </c>
      <c r="J12" s="9">
        <v>0.312</v>
      </c>
      <c r="K12" s="9">
        <v>0.443</v>
      </c>
      <c r="L12" s="9">
        <v>0.86399999999999999</v>
      </c>
      <c r="M12" s="9">
        <v>1.1339999999999999</v>
      </c>
      <c r="N12" s="10">
        <v>562</v>
      </c>
      <c r="O12">
        <v>0</v>
      </c>
      <c r="P12">
        <v>0.6</v>
      </c>
      <c r="Q12">
        <v>3</v>
      </c>
      <c r="R12">
        <v>6</v>
      </c>
      <c r="S12">
        <v>9</v>
      </c>
      <c r="T12">
        <v>18</v>
      </c>
      <c r="U12">
        <v>30</v>
      </c>
      <c r="V12">
        <v>45</v>
      </c>
      <c r="W12">
        <v>60</v>
      </c>
      <c r="X12">
        <v>100</v>
      </c>
      <c r="Y12">
        <v>250</v>
      </c>
      <c r="Z12">
        <v>500</v>
      </c>
    </row>
    <row r="13" spans="1:26" x14ac:dyDescent="0.25">
      <c r="A13" s="8" t="s">
        <v>1</v>
      </c>
      <c r="B13" s="9">
        <v>3.7999999999999999E-2</v>
      </c>
      <c r="C13" s="9">
        <v>4.1000000000000002E-2</v>
      </c>
      <c r="D13" s="9">
        <v>5.1999999999999998E-2</v>
      </c>
      <c r="E13" s="9">
        <v>6.5000000000000002E-2</v>
      </c>
      <c r="F13" s="9">
        <v>0.08</v>
      </c>
      <c r="G13" s="9">
        <v>0.12</v>
      </c>
      <c r="H13" s="9">
        <v>0.17799999999999999</v>
      </c>
      <c r="I13" s="9">
        <v>0.245</v>
      </c>
      <c r="J13" s="9">
        <v>0.318</v>
      </c>
      <c r="K13" s="9">
        <v>0.44500000000000001</v>
      </c>
      <c r="L13" s="9">
        <v>0.77100000000000002</v>
      </c>
      <c r="M13" s="9">
        <v>1.1539999999999999</v>
      </c>
      <c r="N13" s="10">
        <v>562</v>
      </c>
      <c r="O13">
        <f>AVERAGE(B12:B14)</f>
        <v>4.1000000000000002E-2</v>
      </c>
      <c r="P13" s="6">
        <f t="shared" ref="P13:Z13" si="2">AVERAGE(C12:C14)</f>
        <v>4.1333333333333333E-2</v>
      </c>
      <c r="Q13" s="6">
        <f t="shared" si="2"/>
        <v>5.2666666666666667E-2</v>
      </c>
      <c r="R13" s="6">
        <f t="shared" si="2"/>
        <v>6.433333333333334E-2</v>
      </c>
      <c r="S13" s="6">
        <f t="shared" si="2"/>
        <v>7.9666666666666663E-2</v>
      </c>
      <c r="T13" s="6">
        <f t="shared" si="2"/>
        <v>0.11866666666666666</v>
      </c>
      <c r="U13" s="6">
        <f t="shared" si="2"/>
        <v>0.17466666666666666</v>
      </c>
      <c r="V13" s="6">
        <f t="shared" si="2"/>
        <v>0.23266666666666666</v>
      </c>
      <c r="W13" s="6">
        <f t="shared" si="2"/>
        <v>0.31233333333333335</v>
      </c>
      <c r="X13" s="6">
        <f t="shared" si="2"/>
        <v>0.44133333333333336</v>
      </c>
      <c r="Y13" s="6">
        <f>AVERAGE(L13:L14)</f>
        <v>0.78200000000000003</v>
      </c>
      <c r="Z13" s="6">
        <f t="shared" si="2"/>
        <v>1.1246666666666665</v>
      </c>
    </row>
    <row r="14" spans="1:26" x14ac:dyDescent="0.25">
      <c r="A14" s="8" t="s">
        <v>2</v>
      </c>
      <c r="B14" s="9">
        <v>4.2999999999999997E-2</v>
      </c>
      <c r="C14" s="9">
        <v>4.2000000000000003E-2</v>
      </c>
      <c r="D14" s="9">
        <v>5.2999999999999999E-2</v>
      </c>
      <c r="E14" s="9">
        <v>6.6000000000000003E-2</v>
      </c>
      <c r="F14" s="9">
        <v>0.08</v>
      </c>
      <c r="G14" s="9">
        <v>0.11899999999999999</v>
      </c>
      <c r="H14" s="9">
        <v>0.17299999999999999</v>
      </c>
      <c r="I14" s="9">
        <v>0.224</v>
      </c>
      <c r="J14" s="9">
        <v>0.307</v>
      </c>
      <c r="K14" s="9">
        <v>0.436</v>
      </c>
      <c r="L14" s="9">
        <v>0.79300000000000004</v>
      </c>
      <c r="M14" s="9">
        <v>1.0860000000000001</v>
      </c>
      <c r="N14" s="10">
        <v>562</v>
      </c>
    </row>
    <row r="15" spans="1:26" x14ac:dyDescent="0.25">
      <c r="A15" s="8" t="s">
        <v>3</v>
      </c>
      <c r="B15" s="9">
        <v>4.1000000000000002E-2</v>
      </c>
      <c r="C15" s="9">
        <v>4.1000000000000002E-2</v>
      </c>
      <c r="D15" s="9">
        <v>4.2000000000000003E-2</v>
      </c>
      <c r="E15" s="9">
        <v>4.1000000000000002E-2</v>
      </c>
      <c r="F15" s="9">
        <v>4.1000000000000002E-2</v>
      </c>
      <c r="G15" s="9">
        <v>4.2000000000000003E-2</v>
      </c>
      <c r="H15" s="9">
        <v>4.2000000000000003E-2</v>
      </c>
      <c r="I15" s="9">
        <v>4.1000000000000002E-2</v>
      </c>
      <c r="J15" s="9">
        <v>4.4999999999999998E-2</v>
      </c>
      <c r="K15" s="9">
        <v>4.8000000000000001E-2</v>
      </c>
      <c r="L15" s="9">
        <v>4.8000000000000001E-2</v>
      </c>
      <c r="M15" s="9">
        <v>4.8000000000000001E-2</v>
      </c>
      <c r="N15" s="10">
        <v>562</v>
      </c>
    </row>
    <row r="16" spans="1:26" x14ac:dyDescent="0.25">
      <c r="A16" s="8" t="s">
        <v>4</v>
      </c>
      <c r="B16" s="9">
        <v>0.04</v>
      </c>
      <c r="C16" s="9">
        <v>0.04</v>
      </c>
      <c r="D16" s="9">
        <v>0.04</v>
      </c>
      <c r="E16" s="9">
        <v>0.04</v>
      </c>
      <c r="F16" s="9">
        <v>4.1000000000000002E-2</v>
      </c>
      <c r="G16" s="9">
        <v>4.1000000000000002E-2</v>
      </c>
      <c r="H16" s="9">
        <v>0.04</v>
      </c>
      <c r="I16" s="9">
        <v>4.1000000000000002E-2</v>
      </c>
      <c r="J16" s="9">
        <v>4.1000000000000002E-2</v>
      </c>
      <c r="K16" s="9">
        <v>4.9000000000000002E-2</v>
      </c>
      <c r="L16" s="9">
        <v>5.0999999999999997E-2</v>
      </c>
      <c r="M16" s="9">
        <v>4.8000000000000001E-2</v>
      </c>
      <c r="N16" s="10">
        <v>562</v>
      </c>
    </row>
    <row r="17" spans="1:26" x14ac:dyDescent="0.25">
      <c r="A17" s="8" t="s">
        <v>5</v>
      </c>
      <c r="B17" s="9">
        <v>4.1000000000000002E-2</v>
      </c>
      <c r="C17" s="9">
        <v>4.2999999999999997E-2</v>
      </c>
      <c r="D17" s="9">
        <v>4.4999999999999998E-2</v>
      </c>
      <c r="E17" s="9">
        <v>5.0999999999999997E-2</v>
      </c>
      <c r="F17" s="9">
        <v>5.5E-2</v>
      </c>
      <c r="G17" s="9">
        <v>6.9000000000000006E-2</v>
      </c>
      <c r="H17" s="9">
        <v>9.1999999999999998E-2</v>
      </c>
      <c r="I17" s="9">
        <v>0.11899999999999999</v>
      </c>
      <c r="J17" s="9">
        <v>0.14199999999999999</v>
      </c>
      <c r="K17" s="9">
        <v>0.2</v>
      </c>
      <c r="L17" s="9">
        <v>0.23300000000000001</v>
      </c>
      <c r="M17" s="9">
        <v>0.25600000000000001</v>
      </c>
      <c r="N17" s="10">
        <v>562</v>
      </c>
      <c r="O17">
        <v>0</v>
      </c>
      <c r="P17">
        <v>0.6</v>
      </c>
      <c r="Q17">
        <v>3</v>
      </c>
      <c r="R17">
        <v>6</v>
      </c>
      <c r="S17">
        <v>9</v>
      </c>
      <c r="T17">
        <v>18</v>
      </c>
      <c r="U17">
        <v>30</v>
      </c>
      <c r="V17">
        <v>45</v>
      </c>
      <c r="W17">
        <v>60</v>
      </c>
      <c r="X17">
        <v>100</v>
      </c>
      <c r="Y17">
        <v>250</v>
      </c>
      <c r="Z17">
        <v>500</v>
      </c>
    </row>
    <row r="18" spans="1:26" x14ac:dyDescent="0.25">
      <c r="A18" s="8" t="s">
        <v>6</v>
      </c>
      <c r="B18" s="9">
        <v>3.7999999999999999E-2</v>
      </c>
      <c r="C18" s="9">
        <v>0.04</v>
      </c>
      <c r="D18" s="9">
        <v>4.4999999999999998E-2</v>
      </c>
      <c r="E18" s="9">
        <v>4.9000000000000002E-2</v>
      </c>
      <c r="F18" s="9">
        <v>5.5E-2</v>
      </c>
      <c r="G18" s="9">
        <v>7.2999999999999995E-2</v>
      </c>
      <c r="H18" s="9">
        <v>9.1999999999999998E-2</v>
      </c>
      <c r="I18" s="9">
        <v>0.11</v>
      </c>
      <c r="J18" s="9">
        <v>0.14199999999999999</v>
      </c>
      <c r="K18" s="9">
        <v>0.20399999999999999</v>
      </c>
      <c r="L18" s="9">
        <v>0.28499999999999998</v>
      </c>
      <c r="M18" s="9">
        <v>0.28799999999999998</v>
      </c>
      <c r="N18" s="10">
        <v>562</v>
      </c>
      <c r="O18">
        <f>AVERAGE(B17:B19)</f>
        <v>3.9333333333333331E-2</v>
      </c>
      <c r="P18" s="6">
        <f t="shared" ref="P18:Z18" si="3">AVERAGE(C17:C19)</f>
        <v>4.1000000000000002E-2</v>
      </c>
      <c r="Q18" s="6">
        <f t="shared" si="3"/>
        <v>4.4666666666666667E-2</v>
      </c>
      <c r="R18" s="6">
        <f t="shared" si="3"/>
        <v>4.9666666666666671E-2</v>
      </c>
      <c r="S18" s="6">
        <f t="shared" si="3"/>
        <v>5.5333333333333339E-2</v>
      </c>
      <c r="T18" s="6">
        <f t="shared" si="3"/>
        <v>7.166666666666667E-2</v>
      </c>
      <c r="U18" s="6">
        <f t="shared" si="3"/>
        <v>9.2000000000000012E-2</v>
      </c>
      <c r="V18" s="6">
        <f t="shared" si="3"/>
        <v>0.11399999999999999</v>
      </c>
      <c r="W18" s="6">
        <f t="shared" si="3"/>
        <v>0.15066666666666664</v>
      </c>
      <c r="X18" s="6">
        <f t="shared" si="3"/>
        <v>0.20166666666666666</v>
      </c>
      <c r="Y18" s="6">
        <f t="shared" si="3"/>
        <v>0.26500000000000001</v>
      </c>
      <c r="Z18" s="6">
        <f t="shared" si="3"/>
        <v>0.27066666666666667</v>
      </c>
    </row>
    <row r="19" spans="1:26" x14ac:dyDescent="0.25">
      <c r="A19" s="8" t="s">
        <v>7</v>
      </c>
      <c r="B19" s="9">
        <v>3.9E-2</v>
      </c>
      <c r="C19" s="9">
        <v>0.04</v>
      </c>
      <c r="D19" s="9">
        <v>4.3999999999999997E-2</v>
      </c>
      <c r="E19" s="9">
        <v>4.9000000000000002E-2</v>
      </c>
      <c r="F19" s="9">
        <v>5.6000000000000001E-2</v>
      </c>
      <c r="G19" s="9">
        <v>7.2999999999999995E-2</v>
      </c>
      <c r="H19" s="9">
        <v>9.1999999999999998E-2</v>
      </c>
      <c r="I19" s="9">
        <v>0.113</v>
      </c>
      <c r="J19" s="9">
        <v>0.16800000000000001</v>
      </c>
      <c r="K19" s="9">
        <v>0.20100000000000001</v>
      </c>
      <c r="L19" s="9">
        <v>0.27700000000000002</v>
      </c>
      <c r="M19" s="9">
        <v>0.26800000000000002</v>
      </c>
      <c r="N19" s="10">
        <v>562</v>
      </c>
    </row>
    <row r="21" spans="1:26" x14ac:dyDescent="0.25">
      <c r="O21" s="11">
        <v>0</v>
      </c>
      <c r="P21" s="11">
        <v>0.6</v>
      </c>
      <c r="Q21" s="11">
        <v>3</v>
      </c>
      <c r="R21" s="11">
        <v>6</v>
      </c>
      <c r="S21" s="11">
        <v>9</v>
      </c>
      <c r="T21" s="11">
        <v>18</v>
      </c>
      <c r="U21" s="11">
        <v>30</v>
      </c>
      <c r="V21" s="11">
        <v>45</v>
      </c>
      <c r="W21" s="11">
        <v>60</v>
      </c>
      <c r="X21" s="11">
        <v>100</v>
      </c>
      <c r="Y21" s="6"/>
      <c r="Z21" s="6"/>
    </row>
    <row r="22" spans="1:26" x14ac:dyDescent="0.25">
      <c r="O22">
        <f>O13-O3</f>
        <v>2.33333333333334E-3</v>
      </c>
      <c r="P22" s="6">
        <f t="shared" ref="P22:X22" si="4">P13-P3</f>
        <v>1.6666666666666705E-3</v>
      </c>
      <c r="Q22" s="6">
        <f t="shared" si="4"/>
        <v>5.9999999999999984E-3</v>
      </c>
      <c r="R22" s="6">
        <f t="shared" si="4"/>
        <v>1.1333333333333341E-2</v>
      </c>
      <c r="S22" s="6">
        <f t="shared" si="4"/>
        <v>1.6E-2</v>
      </c>
      <c r="T22" s="6">
        <f t="shared" si="4"/>
        <v>3.2999999999999988E-2</v>
      </c>
      <c r="U22" s="6">
        <f t="shared" si="4"/>
        <v>5.0666666666666665E-2</v>
      </c>
      <c r="V22" s="6">
        <f t="shared" si="4"/>
        <v>6.9000000000000006E-2</v>
      </c>
      <c r="W22" s="6">
        <f t="shared" si="4"/>
        <v>0.10466666666666669</v>
      </c>
      <c r="X22" s="6">
        <f t="shared" si="4"/>
        <v>0.14999999999999997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Read, Zoe</cp:lastModifiedBy>
  <dcterms:created xsi:type="dcterms:W3CDTF">2026-02-18T19:37:54Z</dcterms:created>
  <dcterms:modified xsi:type="dcterms:W3CDTF">2026-02-19T21:37:54Z</dcterms:modified>
</cp:coreProperties>
</file>