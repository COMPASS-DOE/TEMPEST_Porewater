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TEMPEST_Porewater/processing_scripts/Iron/2025/Raw Data/"/>
    </mc:Choice>
  </mc:AlternateContent>
  <xr:revisionPtr revIDLastSave="3" documentId="13_ncr:1_{77245349-4374-408E-837F-BCC97C13493A}" xr6:coauthVersionLast="47" xr6:coauthVersionMax="47" xr10:uidLastSave="{501FB8EC-D2E2-49CF-BC9D-D7A655DFF8FF}"/>
  <bookViews>
    <workbookView xWindow="-120" yWindow="-120" windowWidth="29040" windowHeight="15720" xr2:uid="{01A98CCF-88D2-49AB-A8B1-74CA82CFDA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8" i="1" l="1"/>
  <c r="Z18" i="1"/>
  <c r="R13" i="1" l="1"/>
  <c r="R3" i="1"/>
  <c r="O18" i="1"/>
  <c r="P18" i="1"/>
  <c r="Q18" i="1"/>
  <c r="R18" i="1"/>
  <c r="S18" i="1"/>
  <c r="T18" i="1"/>
  <c r="U18" i="1"/>
  <c r="V18" i="1"/>
  <c r="W18" i="1"/>
  <c r="X18" i="1"/>
  <c r="S13" i="1"/>
  <c r="Q13" i="1"/>
  <c r="P13" i="1"/>
  <c r="T13" i="1"/>
  <c r="U13" i="1"/>
  <c r="V13" i="1"/>
  <c r="W13" i="1"/>
  <c r="X13" i="1"/>
  <c r="O13" i="1"/>
  <c r="T3" i="1"/>
  <c r="T22" i="1" s="1"/>
  <c r="R22" i="1" l="1"/>
  <c r="O3" i="1"/>
  <c r="O22" i="1" s="1"/>
  <c r="P8" i="1"/>
  <c r="Q8" i="1"/>
  <c r="R8" i="1"/>
  <c r="S8" i="1"/>
  <c r="T8" i="1"/>
  <c r="U8" i="1"/>
  <c r="V8" i="1"/>
  <c r="W8" i="1"/>
  <c r="X8" i="1"/>
  <c r="Y8" i="1"/>
  <c r="Z8" i="1"/>
  <c r="O8" i="1"/>
  <c r="P3" i="1"/>
  <c r="P22" i="1" s="1"/>
  <c r="Q3" i="1"/>
  <c r="Q22" i="1" s="1"/>
  <c r="S3" i="1"/>
  <c r="S22" i="1" s="1"/>
  <c r="U3" i="1"/>
  <c r="U22" i="1" s="1"/>
  <c r="V3" i="1"/>
  <c r="V22" i="1" s="1"/>
  <c r="W3" i="1"/>
  <c r="W22" i="1" s="1"/>
  <c r="X3" i="1"/>
  <c r="X22" i="1" s="1"/>
  <c r="Y3" i="1"/>
  <c r="Z3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<sst xmlns="http://schemas.openxmlformats.org/spreadsheetml/2006/main" count="16" uniqueCount="8">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</sst>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FE2 Run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525415573053363"/>
                  <c:y val="8.84259259259259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Sheet1!$O$2:$Z$2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Sheet1!$O$3:$Z$3</c:f>
              <c:numCache>
                <c:formatCode>General</c:formatCode>
                <c:ptCount val="12"/>
                <c:pt idx="0">
                  <c:v>4.2000000000000003E-2</c:v>
                </c:pt>
                <c:pt idx="1">
                  <c:v>4.4666666666666667E-2</c:v>
                </c:pt>
                <c:pt idx="2">
                  <c:v>5.6666666666666671E-2</c:v>
                </c:pt>
                <c:pt idx="3">
                  <c:v>6.6666666666666666E-2</c:v>
                </c:pt>
                <c:pt idx="4">
                  <c:v>6.9333333333333344E-2</c:v>
                </c:pt>
                <c:pt idx="5">
                  <c:v>9.866666666666668E-2</c:v>
                </c:pt>
                <c:pt idx="6">
                  <c:v>0.12666666666666668</c:v>
                </c:pt>
                <c:pt idx="7">
                  <c:v>0.16833333333333333</c:v>
                </c:pt>
                <c:pt idx="8">
                  <c:v>0.21866666666666668</c:v>
                </c:pt>
                <c:pt idx="9">
                  <c:v>0.28599999999999998</c:v>
                </c:pt>
                <c:pt idx="10">
                  <c:v>0.60566666666666669</c:v>
                </c:pt>
                <c:pt idx="11">
                  <c:v>1.1299999999999999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27-49E7-80E2-B72A83F96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880488"/>
        <c:axId val="437881144"/>
      </c:scatterChart>
      <c:valAx>
        <c:axId val="437880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881144"/>
        <c:crosses val="autoZero"/>
        <c:crossBetween val="midCat"/>
      </c:valAx>
      <c:valAx>
        <c:axId val="437881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880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FE2 Run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Sheet1!$O$12:$X$12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Sheet1!$O$13:$X$13</c:f>
              <c:numCache>
                <c:formatCode>General</c:formatCode>
                <c:ptCount val="10"/>
                <c:pt idx="0">
                  <c:v>4.3666666666666666E-2</c:v>
                </c:pt>
                <c:pt idx="1">
                  <c:v>4.6666666666666669E-2</c:v>
                </c:pt>
                <c:pt idx="2">
                  <c:v>6.3333333333333339E-2</c:v>
                </c:pt>
                <c:pt idx="3">
                  <c:v>7.7499999999999999E-2</c:v>
                </c:pt>
                <c:pt idx="4">
                  <c:v>8.4666666666666668E-2</c:v>
                </c:pt>
                <c:pt idx="5">
                  <c:v>0.12566666666666668</c:v>
                </c:pt>
                <c:pt idx="6">
                  <c:v>0.17100000000000001</c:v>
                </c:pt>
                <c:pt idx="7">
                  <c:v>0.23499999999999999</c:v>
                </c:pt>
                <c:pt idx="8">
                  <c:v>0.3</c:v>
                </c:pt>
                <c:pt idx="9">
                  <c:v>0.43033333333333329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81-448B-B7F0-8CECC0FFB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884424"/>
        <c:axId val="437876880"/>
      </c:scatterChart>
      <c:valAx>
        <c:axId val="437884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876880"/>
        <c:crosses val="autoZero"/>
        <c:crossBetween val="midCat"/>
      </c:valAx>
      <c:valAx>
        <c:axId val="43787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884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FE3 Run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4763779527559056E-3"/>
                  <c:y val="-4.711103820355788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Sheet1!$O$17:$X$17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Sheet1!$O$18:$X$18</c:f>
              <c:numCache>
                <c:formatCode>General</c:formatCode>
                <c:ptCount val="10"/>
                <c:pt idx="0">
                  <c:v>4.3499999999999997E-2</c:v>
                </c:pt>
                <c:pt idx="1">
                  <c:v>4.3333333333333335E-2</c:v>
                </c:pt>
                <c:pt idx="2">
                  <c:v>5.2333333333333336E-2</c:v>
                </c:pt>
                <c:pt idx="3">
                  <c:v>5.6333333333333326E-2</c:v>
                </c:pt>
                <c:pt idx="4">
                  <c:v>0.06</c:v>
                </c:pt>
                <c:pt idx="5">
                  <c:v>7.2333333333333347E-2</c:v>
                </c:pt>
                <c:pt idx="6">
                  <c:v>9.9666666666666667E-2</c:v>
                </c:pt>
                <c:pt idx="7">
                  <c:v>0.11933333333333333</c:v>
                </c:pt>
                <c:pt idx="8">
                  <c:v>0.14033333333333334</c:v>
                </c:pt>
                <c:pt idx="9">
                  <c:v>0.20433333333333334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DE-4CFC-A24D-2044A1EA6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473960"/>
        <c:axId val="459473632"/>
      </c:scatterChart>
      <c:valAx>
        <c:axId val="459473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473632"/>
        <c:crosses val="autoZero"/>
        <c:crossBetween val="midCat"/>
      </c:valAx>
      <c:valAx>
        <c:axId val="4594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473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FE2 Run 2 - Fe2 Run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Sheet1!$O$21:$X$21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Sheet1!$O$22:$X$22</c:f>
              <c:numCache>
                <c:formatCode>General</c:formatCode>
                <c:ptCount val="10"/>
                <c:pt idx="0">
                  <c:v>1.6666666666666635E-3</c:v>
                </c:pt>
                <c:pt idx="1">
                  <c:v>2.0000000000000018E-3</c:v>
                </c:pt>
                <c:pt idx="2">
                  <c:v>6.666666666666668E-3</c:v>
                </c:pt>
                <c:pt idx="3">
                  <c:v>1.0833333333333334E-2</c:v>
                </c:pt>
                <c:pt idx="4">
                  <c:v>1.5333333333333324E-2</c:v>
                </c:pt>
                <c:pt idx="5">
                  <c:v>2.6999999999999996E-2</c:v>
                </c:pt>
                <c:pt idx="6">
                  <c:v>4.4333333333333336E-2</c:v>
                </c:pt>
                <c:pt idx="7">
                  <c:v>6.6666666666666652E-2</c:v>
                </c:pt>
                <c:pt idx="8">
                  <c:v>8.1333333333333313E-2</c:v>
                </c:pt>
                <c:pt idx="9">
                  <c:v>0.14433333333333331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C9-40F4-A959-99DE4A672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501840"/>
        <c:axId val="459504136"/>
      </c:scatterChart>
      <c:valAx>
        <c:axId val="45950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504136"/>
        <c:crosses val="autoZero"/>
        <c:crossBetween val="midCat"/>
      </c:valAx>
      <c:valAx>
        <c:axId val="459504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50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552450</xdr:colOff>
      <xdr:row>24</xdr:row>
      <xdr:rowOff>90487</xdr:rowOff>
    </xdr:from>
    <xdr:to>
      <xdr:col>26</xdr:col>
      <xdr:colOff>247650</xdr:colOff>
      <xdr:row>38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5D4175-DFAD-4954-87DB-ABAD77B2F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371475</xdr:colOff>
      <xdr:row>25</xdr:row>
      <xdr:rowOff>14287</xdr:rowOff>
    </xdr:from>
    <xdr:to>
      <xdr:col>17</xdr:col>
      <xdr:colOff>66675</xdr:colOff>
      <xdr:row>39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6CD37E-B0F8-4C23-8E6B-587966219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400050</xdr:colOff>
      <xdr:row>20</xdr:row>
      <xdr:rowOff>109537</xdr:rowOff>
    </xdr:from>
    <xdr:to>
      <xdr:col>13</xdr:col>
      <xdr:colOff>95250</xdr:colOff>
      <xdr:row>34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DC6523-2BE8-4278-A0DB-4CE98BBCF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21</xdr:row>
      <xdr:rowOff>138112</xdr:rowOff>
    </xdr:from>
    <xdr:to>
      <xdr:col>7</xdr:col>
      <xdr:colOff>304800</xdr:colOff>
      <xdr:row>36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4F8B7D-EB88-48D1-952C-258158294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51E9-5D79-404A-93BC-C106BA07B479}">
  <dimension ref="A1:Z22"/>
  <sheetViews>
    <sheetView tabSelected="1" workbookViewId="0">
      <selection activeCell="B12" sqref="B12:M19"/>
    </sheetView>
  </sheetViews>
  <sheetFormatPr defaultRowHeight="15" x14ac:dyDescent="0.25"/>
  <sheetData>
    <row r="1" spans="1:26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2" t="s">
        <v>0</v>
      </c>
      <c r="B2" s="3">
        <v>0.04</v>
      </c>
      <c r="C2" s="3">
        <v>4.3999999999999997E-2</v>
      </c>
      <c r="D2" s="3">
        <v>5.7000000000000002E-2</v>
      </c>
      <c r="E2" s="3">
        <v>7.2999999999999995E-2</v>
      </c>
      <c r="F2" s="3">
        <v>8.1000000000000003E-2</v>
      </c>
      <c r="G2" s="3">
        <v>9.7000000000000003E-2</v>
      </c>
      <c r="H2" s="3">
        <v>0.14199999999999999</v>
      </c>
      <c r="I2" s="3">
        <v>0.18</v>
      </c>
      <c r="J2" s="3">
        <v>0.23400000000000001</v>
      </c>
      <c r="K2" s="3">
        <v>0.26500000000000001</v>
      </c>
      <c r="L2" s="3">
        <v>0.56999999999999995</v>
      </c>
      <c r="M2" s="3">
        <v>1.125</v>
      </c>
      <c r="N2" s="4">
        <v>562</v>
      </c>
      <c r="O2" s="10">
        <v>0</v>
      </c>
      <c r="P2" s="10">
        <v>0.6</v>
      </c>
      <c r="Q2" s="10">
        <v>3</v>
      </c>
      <c r="R2" s="10">
        <v>6</v>
      </c>
      <c r="S2" s="10">
        <v>9</v>
      </c>
      <c r="T2" s="10">
        <v>18</v>
      </c>
      <c r="U2" s="10">
        <v>30</v>
      </c>
      <c r="V2" s="10">
        <v>45</v>
      </c>
      <c r="W2" s="10">
        <v>60</v>
      </c>
      <c r="X2" s="10">
        <v>100</v>
      </c>
      <c r="Y2" s="10">
        <v>250</v>
      </c>
      <c r="Z2" s="10">
        <v>500</v>
      </c>
    </row>
    <row r="3" spans="1:26" x14ac:dyDescent="0.25">
      <c r="A3" s="2" t="s">
        <v>1</v>
      </c>
      <c r="B3" s="3">
        <v>4.2000000000000003E-2</v>
      </c>
      <c r="C3" s="3">
        <v>4.8000000000000001E-2</v>
      </c>
      <c r="D3" s="3">
        <v>0.05</v>
      </c>
      <c r="E3" s="3">
        <v>6.2E-2</v>
      </c>
      <c r="F3" s="3">
        <v>6.0999999999999999E-2</v>
      </c>
      <c r="G3" s="3">
        <v>0.112</v>
      </c>
      <c r="H3" s="3">
        <v>0.11700000000000001</v>
      </c>
      <c r="I3" s="3">
        <v>0.16</v>
      </c>
      <c r="J3" s="3">
        <v>0.19800000000000001</v>
      </c>
      <c r="K3" s="3">
        <v>0.29599999999999999</v>
      </c>
      <c r="L3" s="3">
        <v>0.67600000000000005</v>
      </c>
      <c r="M3" s="3">
        <v>1.1220000000000001</v>
      </c>
      <c r="N3" s="4">
        <v>562</v>
      </c>
      <c r="O3" s="5">
        <f>AVERAGE(B2:B4)</f>
        <v>4.2000000000000003E-2</v>
      </c>
      <c r="P3" s="5">
        <f t="shared" ref="P3:Z3" si="0">AVERAGE(C2:C4)</f>
        <v>4.4666666666666667E-2</v>
      </c>
      <c r="Q3" s="5">
        <f t="shared" si="0"/>
        <v>5.6666666666666671E-2</v>
      </c>
      <c r="R3" s="5">
        <f t="shared" si="0"/>
        <v>6.6666666666666666E-2</v>
      </c>
      <c r="S3" s="5">
        <f t="shared" si="0"/>
        <v>6.9333333333333344E-2</v>
      </c>
      <c r="T3" s="5">
        <f t="shared" si="0"/>
        <v>9.866666666666668E-2</v>
      </c>
      <c r="U3" s="5">
        <f t="shared" si="0"/>
        <v>0.12666666666666668</v>
      </c>
      <c r="V3" s="5">
        <f t="shared" si="0"/>
        <v>0.16833333333333333</v>
      </c>
      <c r="W3" s="5">
        <f t="shared" si="0"/>
        <v>0.21866666666666668</v>
      </c>
      <c r="X3" s="5">
        <f t="shared" si="0"/>
        <v>0.28599999999999998</v>
      </c>
      <c r="Y3" s="5">
        <f t="shared" si="0"/>
        <v>0.60566666666666669</v>
      </c>
      <c r="Z3" s="5">
        <f t="shared" si="0"/>
        <v>1.1299999999999999</v>
      </c>
    </row>
    <row r="4" spans="1:26" x14ac:dyDescent="0.25">
      <c r="A4" s="2" t="s">
        <v>2</v>
      </c>
      <c r="B4" s="3">
        <v>4.3999999999999997E-2</v>
      </c>
      <c r="C4" s="3">
        <v>4.2000000000000003E-2</v>
      </c>
      <c r="D4" s="3">
        <v>6.3E-2</v>
      </c>
      <c r="E4" s="3">
        <v>6.5000000000000002E-2</v>
      </c>
      <c r="F4" s="3">
        <v>6.6000000000000003E-2</v>
      </c>
      <c r="G4" s="3">
        <v>8.6999999999999994E-2</v>
      </c>
      <c r="H4" s="3">
        <v>0.121</v>
      </c>
      <c r="I4" s="3">
        <v>0.16500000000000001</v>
      </c>
      <c r="J4" s="3">
        <v>0.224</v>
      </c>
      <c r="K4" s="3">
        <v>0.29699999999999999</v>
      </c>
      <c r="L4" s="3">
        <v>0.57099999999999995</v>
      </c>
      <c r="M4" s="3">
        <v>1.143</v>
      </c>
      <c r="N4" s="4">
        <v>562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5">
      <c r="A5" s="2" t="s">
        <v>3</v>
      </c>
      <c r="B5" s="3">
        <v>0.04</v>
      </c>
      <c r="C5" s="3">
        <v>6.5000000000000002E-2</v>
      </c>
      <c r="D5" s="3">
        <v>6.5000000000000002E-2</v>
      </c>
      <c r="E5" s="3">
        <v>7.0000000000000007E-2</v>
      </c>
      <c r="F5" s="3">
        <v>6.3E-2</v>
      </c>
      <c r="G5" s="3">
        <v>4.7E-2</v>
      </c>
      <c r="H5" s="3">
        <v>4.2000000000000003E-2</v>
      </c>
      <c r="I5" s="3">
        <v>7.3999999999999996E-2</v>
      </c>
      <c r="J5" s="3">
        <v>5.7000000000000002E-2</v>
      </c>
      <c r="K5" s="3">
        <v>4.9000000000000002E-2</v>
      </c>
      <c r="L5" s="3">
        <v>6.2E-2</v>
      </c>
      <c r="M5" s="3">
        <v>4.9000000000000002E-2</v>
      </c>
      <c r="N5" s="4">
        <v>562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5">
      <c r="A6" s="2" t="s">
        <v>4</v>
      </c>
      <c r="B6" s="3">
        <v>3.7999999999999999E-2</v>
      </c>
      <c r="C6" s="3">
        <v>3.7999999999999999E-2</v>
      </c>
      <c r="D6" s="3">
        <v>3.7999999999999999E-2</v>
      </c>
      <c r="E6" s="3">
        <v>3.9E-2</v>
      </c>
      <c r="F6" s="3">
        <v>3.9E-2</v>
      </c>
      <c r="G6" s="3">
        <v>3.9E-2</v>
      </c>
      <c r="H6" s="3">
        <v>3.7999999999999999E-2</v>
      </c>
      <c r="I6" s="3">
        <v>3.9E-2</v>
      </c>
      <c r="J6" s="3">
        <v>3.9E-2</v>
      </c>
      <c r="K6" s="3">
        <v>3.6999999999999998E-2</v>
      </c>
      <c r="L6" s="3">
        <v>3.9E-2</v>
      </c>
      <c r="M6" s="3">
        <v>3.7999999999999999E-2</v>
      </c>
      <c r="N6" s="4">
        <v>562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5">
      <c r="A7" s="2" t="s">
        <v>5</v>
      </c>
      <c r="B7" s="3">
        <v>0.04</v>
      </c>
      <c r="C7" s="3">
        <v>3.9E-2</v>
      </c>
      <c r="D7" s="3">
        <v>3.9E-2</v>
      </c>
      <c r="E7" s="3">
        <v>4.3999999999999997E-2</v>
      </c>
      <c r="F7" s="3">
        <v>4.9000000000000002E-2</v>
      </c>
      <c r="G7" s="3">
        <v>4.3999999999999997E-2</v>
      </c>
      <c r="H7" s="3">
        <v>4.1000000000000002E-2</v>
      </c>
      <c r="I7" s="3">
        <v>4.2999999999999997E-2</v>
      </c>
      <c r="J7" s="3">
        <v>4.2999999999999997E-2</v>
      </c>
      <c r="K7" s="3">
        <v>4.2000000000000003E-2</v>
      </c>
      <c r="L7" s="3">
        <v>0.04</v>
      </c>
      <c r="M7" s="3">
        <v>4.2000000000000003E-2</v>
      </c>
      <c r="N7" s="4">
        <v>562</v>
      </c>
      <c r="O7" s="10">
        <v>0</v>
      </c>
      <c r="P7" s="10">
        <v>0.6</v>
      </c>
      <c r="Q7" s="10">
        <v>3</v>
      </c>
      <c r="R7" s="10">
        <v>6</v>
      </c>
      <c r="S7" s="10">
        <v>9</v>
      </c>
      <c r="T7" s="10">
        <v>18</v>
      </c>
      <c r="U7" s="10">
        <v>30</v>
      </c>
      <c r="V7" s="10">
        <v>45</v>
      </c>
      <c r="W7" s="10">
        <v>60</v>
      </c>
      <c r="X7" s="10">
        <v>100</v>
      </c>
      <c r="Y7" s="10">
        <v>250</v>
      </c>
      <c r="Z7" s="10">
        <v>500</v>
      </c>
    </row>
    <row r="8" spans="1:26" x14ac:dyDescent="0.25">
      <c r="A8" s="2" t="s">
        <v>6</v>
      </c>
      <c r="B8" s="3">
        <v>5.8999999999999997E-2</v>
      </c>
      <c r="C8" s="3">
        <v>4.1000000000000002E-2</v>
      </c>
      <c r="D8" s="3">
        <v>4.8000000000000001E-2</v>
      </c>
      <c r="E8" s="3">
        <v>0.05</v>
      </c>
      <c r="F8" s="3">
        <v>0.04</v>
      </c>
      <c r="G8" s="3">
        <v>0.04</v>
      </c>
      <c r="H8" s="3">
        <v>4.2000000000000003E-2</v>
      </c>
      <c r="I8" s="3">
        <v>4.1000000000000002E-2</v>
      </c>
      <c r="J8" s="3">
        <v>4.1000000000000002E-2</v>
      </c>
      <c r="K8" s="3">
        <v>4.2000000000000003E-2</v>
      </c>
      <c r="L8" s="3">
        <v>4.5999999999999999E-2</v>
      </c>
      <c r="M8" s="3">
        <v>4.3999999999999997E-2</v>
      </c>
      <c r="N8" s="4">
        <v>562</v>
      </c>
      <c r="O8" s="5">
        <f>AVERAGE(B7:B9)</f>
        <v>4.8333333333333339E-2</v>
      </c>
      <c r="P8" s="5">
        <f t="shared" ref="P8:Z8" si="1">AVERAGE(C7:C9)</f>
        <v>4.1666666666666664E-2</v>
      </c>
      <c r="Q8" s="5">
        <f t="shared" si="1"/>
        <v>4.5666666666666668E-2</v>
      </c>
      <c r="R8" s="5">
        <f t="shared" si="1"/>
        <v>4.4666666666666667E-2</v>
      </c>
      <c r="S8" s="5">
        <f t="shared" si="1"/>
        <v>4.3333333333333335E-2</v>
      </c>
      <c r="T8" s="5">
        <f t="shared" si="1"/>
        <v>4.1333333333333333E-2</v>
      </c>
      <c r="U8" s="5">
        <f t="shared" si="1"/>
        <v>4.2000000000000003E-2</v>
      </c>
      <c r="V8" s="5">
        <f t="shared" si="1"/>
        <v>4.1666666666666664E-2</v>
      </c>
      <c r="W8" s="5">
        <f t="shared" si="1"/>
        <v>4.2000000000000003E-2</v>
      </c>
      <c r="X8" s="5">
        <f t="shared" si="1"/>
        <v>4.1333333333333333E-2</v>
      </c>
      <c r="Y8" s="5">
        <f t="shared" si="1"/>
        <v>4.3333333333333335E-2</v>
      </c>
      <c r="Z8" s="5">
        <f t="shared" si="1"/>
        <v>4.3000000000000003E-2</v>
      </c>
    </row>
    <row r="9" spans="1:26" x14ac:dyDescent="0.25">
      <c r="A9" s="2" t="s">
        <v>7</v>
      </c>
      <c r="B9" s="3">
        <v>4.5999999999999999E-2</v>
      </c>
      <c r="C9" s="3">
        <v>4.4999999999999998E-2</v>
      </c>
      <c r="D9" s="3">
        <v>0.05</v>
      </c>
      <c r="E9" s="3">
        <v>0.04</v>
      </c>
      <c r="F9" s="3">
        <v>4.1000000000000002E-2</v>
      </c>
      <c r="G9" s="3">
        <v>0.04</v>
      </c>
      <c r="H9" s="3">
        <v>4.2999999999999997E-2</v>
      </c>
      <c r="I9" s="3">
        <v>4.1000000000000002E-2</v>
      </c>
      <c r="J9" s="3">
        <v>4.2000000000000003E-2</v>
      </c>
      <c r="K9" s="3">
        <v>0.04</v>
      </c>
      <c r="L9" s="3">
        <v>4.3999999999999997E-2</v>
      </c>
      <c r="M9" s="3">
        <v>4.2999999999999997E-2</v>
      </c>
      <c r="N9" s="4">
        <v>562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1" spans="1:26" x14ac:dyDescent="0.25">
      <c r="A11" s="6"/>
      <c r="B11" s="7">
        <v>1</v>
      </c>
      <c r="C11" s="7">
        <v>2</v>
      </c>
      <c r="D11" s="7">
        <v>3</v>
      </c>
      <c r="E11" s="7">
        <v>4</v>
      </c>
      <c r="F11" s="7">
        <v>5</v>
      </c>
      <c r="G11" s="7">
        <v>6</v>
      </c>
      <c r="H11" s="7">
        <v>7</v>
      </c>
      <c r="I11" s="7">
        <v>8</v>
      </c>
      <c r="J11" s="7">
        <v>9</v>
      </c>
      <c r="K11" s="7">
        <v>10</v>
      </c>
      <c r="L11" s="7">
        <v>11</v>
      </c>
      <c r="M11" s="7">
        <v>12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5">
      <c r="A12" s="7" t="s">
        <v>0</v>
      </c>
      <c r="B12" s="8">
        <v>4.2999999999999997E-2</v>
      </c>
      <c r="C12" s="8">
        <v>4.5999999999999999E-2</v>
      </c>
      <c r="D12" s="8">
        <v>6.3E-2</v>
      </c>
      <c r="E12" s="8">
        <v>9.0999999999999998E-2</v>
      </c>
      <c r="F12" s="8">
        <v>9.6000000000000002E-2</v>
      </c>
      <c r="G12" s="8">
        <v>0.123</v>
      </c>
      <c r="H12" s="8">
        <v>0.192</v>
      </c>
      <c r="I12" s="8">
        <v>0.247</v>
      </c>
      <c r="J12" s="8">
        <v>0.29199999999999998</v>
      </c>
      <c r="K12" s="8">
        <v>0.41399999999999998</v>
      </c>
      <c r="L12" s="8">
        <v>0.76200000000000001</v>
      </c>
      <c r="M12" s="8">
        <v>1.204</v>
      </c>
      <c r="N12" s="9">
        <v>562</v>
      </c>
      <c r="O12" s="10">
        <v>0</v>
      </c>
      <c r="P12" s="10">
        <v>0.6</v>
      </c>
      <c r="Q12" s="10">
        <v>3</v>
      </c>
      <c r="R12" s="10">
        <v>6</v>
      </c>
      <c r="S12" s="10">
        <v>9</v>
      </c>
      <c r="T12" s="10">
        <v>18</v>
      </c>
      <c r="U12" s="10">
        <v>30</v>
      </c>
      <c r="V12" s="10">
        <v>45</v>
      </c>
      <c r="W12" s="10">
        <v>60</v>
      </c>
      <c r="X12" s="10">
        <v>100</v>
      </c>
      <c r="Y12" s="10"/>
      <c r="Z12" s="10"/>
    </row>
    <row r="13" spans="1:26" x14ac:dyDescent="0.25">
      <c r="A13" s="7" t="s">
        <v>1</v>
      </c>
      <c r="B13" s="8">
        <v>4.2000000000000003E-2</v>
      </c>
      <c r="C13" s="8">
        <v>0.05</v>
      </c>
      <c r="D13" s="8">
        <v>5.6000000000000001E-2</v>
      </c>
      <c r="E13" s="8">
        <v>7.2999999999999995E-2</v>
      </c>
      <c r="F13" s="8">
        <v>7.6999999999999999E-2</v>
      </c>
      <c r="G13" s="8">
        <v>0.14000000000000001</v>
      </c>
      <c r="H13" s="8">
        <v>0.159</v>
      </c>
      <c r="I13" s="8">
        <v>0.22900000000000001</v>
      </c>
      <c r="J13" s="8">
        <v>0.29499999999999998</v>
      </c>
      <c r="K13" s="8">
        <v>0.42699999999999999</v>
      </c>
      <c r="L13" s="8">
        <v>0.79500000000000004</v>
      </c>
      <c r="M13" s="8">
        <v>1.2030000000000001</v>
      </c>
      <c r="N13" s="9">
        <v>562</v>
      </c>
      <c r="O13" s="5">
        <f>AVERAGE(B12:B14)</f>
        <v>4.3666666666666666E-2</v>
      </c>
      <c r="P13" s="5">
        <f t="shared" ref="P13:X13" si="2">AVERAGE(C12:C14)</f>
        <v>4.6666666666666669E-2</v>
      </c>
      <c r="Q13" s="5">
        <f t="shared" si="2"/>
        <v>6.3333333333333339E-2</v>
      </c>
      <c r="R13" s="5">
        <f>AVERAGE(E13:E14)</f>
        <v>7.7499999999999999E-2</v>
      </c>
      <c r="S13" s="5">
        <f t="shared" si="2"/>
        <v>8.4666666666666668E-2</v>
      </c>
      <c r="T13" s="5">
        <f t="shared" si="2"/>
        <v>0.12566666666666668</v>
      </c>
      <c r="U13" s="5">
        <f t="shared" si="2"/>
        <v>0.17100000000000001</v>
      </c>
      <c r="V13" s="5">
        <f t="shared" si="2"/>
        <v>0.23499999999999999</v>
      </c>
      <c r="W13" s="5">
        <f t="shared" si="2"/>
        <v>0.3</v>
      </c>
      <c r="X13" s="5">
        <f t="shared" si="2"/>
        <v>0.43033333333333329</v>
      </c>
      <c r="Y13" s="5"/>
      <c r="Z13" s="5"/>
    </row>
    <row r="14" spans="1:26" x14ac:dyDescent="0.25">
      <c r="A14" s="7" t="s">
        <v>2</v>
      </c>
      <c r="B14" s="8">
        <v>4.5999999999999999E-2</v>
      </c>
      <c r="C14" s="8">
        <v>4.3999999999999997E-2</v>
      </c>
      <c r="D14" s="8">
        <v>7.0999999999999994E-2</v>
      </c>
      <c r="E14" s="8">
        <v>8.2000000000000003E-2</v>
      </c>
      <c r="F14" s="8">
        <v>8.1000000000000003E-2</v>
      </c>
      <c r="G14" s="8">
        <v>0.114</v>
      </c>
      <c r="H14" s="8">
        <v>0.16200000000000001</v>
      </c>
      <c r="I14" s="8">
        <v>0.22900000000000001</v>
      </c>
      <c r="J14" s="8">
        <v>0.313</v>
      </c>
      <c r="K14" s="8">
        <v>0.45</v>
      </c>
      <c r="L14" s="8">
        <v>0.75600000000000001</v>
      </c>
      <c r="M14" s="8">
        <v>1.1919999999999999</v>
      </c>
      <c r="N14" s="9">
        <v>562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5">
      <c r="A15" s="7" t="s">
        <v>3</v>
      </c>
      <c r="B15" s="8">
        <v>4.1000000000000002E-2</v>
      </c>
      <c r="C15" s="8">
        <v>6.7000000000000004E-2</v>
      </c>
      <c r="D15" s="8">
        <v>6.8000000000000005E-2</v>
      </c>
      <c r="E15" s="8">
        <v>7.1999999999999995E-2</v>
      </c>
      <c r="F15" s="8">
        <v>6.4000000000000001E-2</v>
      </c>
      <c r="G15" s="8">
        <v>4.9000000000000002E-2</v>
      </c>
      <c r="H15" s="8">
        <v>4.3999999999999997E-2</v>
      </c>
      <c r="I15" s="8">
        <v>7.6999999999999999E-2</v>
      </c>
      <c r="J15" s="8">
        <v>5.8999999999999997E-2</v>
      </c>
      <c r="K15" s="8">
        <v>4.9000000000000002E-2</v>
      </c>
      <c r="L15" s="8">
        <v>6.3E-2</v>
      </c>
      <c r="M15" s="8">
        <v>5.0999999999999997E-2</v>
      </c>
      <c r="N15" s="9">
        <v>562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5">
      <c r="A16" s="7" t="s">
        <v>4</v>
      </c>
      <c r="B16" s="8">
        <v>0.04</v>
      </c>
      <c r="C16" s="8">
        <v>0.04</v>
      </c>
      <c r="D16" s="8">
        <v>0.04</v>
      </c>
      <c r="E16" s="8">
        <v>4.1000000000000002E-2</v>
      </c>
      <c r="F16" s="8">
        <v>0.04</v>
      </c>
      <c r="G16" s="8">
        <v>4.1000000000000002E-2</v>
      </c>
      <c r="H16" s="8">
        <v>0.04</v>
      </c>
      <c r="I16" s="8">
        <v>4.2999999999999997E-2</v>
      </c>
      <c r="J16" s="8">
        <v>4.1000000000000002E-2</v>
      </c>
      <c r="K16" s="8">
        <v>3.6999999999999998E-2</v>
      </c>
      <c r="L16" s="8">
        <v>3.7999999999999999E-2</v>
      </c>
      <c r="M16" s="8">
        <v>3.7999999999999999E-2</v>
      </c>
      <c r="N16" s="9">
        <v>562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5">
      <c r="A17" s="7" t="s">
        <v>5</v>
      </c>
      <c r="B17" s="8">
        <v>4.1000000000000002E-2</v>
      </c>
      <c r="C17" s="8">
        <v>4.1000000000000002E-2</v>
      </c>
      <c r="D17" s="8">
        <v>4.4999999999999998E-2</v>
      </c>
      <c r="E17" s="8">
        <v>5.6000000000000001E-2</v>
      </c>
      <c r="F17" s="8">
        <v>6.7000000000000004E-2</v>
      </c>
      <c r="G17" s="8">
        <v>7.5999999999999998E-2</v>
      </c>
      <c r="H17" s="8">
        <v>9.0999999999999998E-2</v>
      </c>
      <c r="I17" s="8">
        <v>0.123</v>
      </c>
      <c r="J17" s="8">
        <v>0.14399999999999999</v>
      </c>
      <c r="K17" s="8">
        <v>0.20300000000000001</v>
      </c>
      <c r="L17" s="8">
        <v>0.28999999999999998</v>
      </c>
      <c r="M17" s="8">
        <v>0.248</v>
      </c>
      <c r="N17" s="9">
        <v>562</v>
      </c>
      <c r="O17" s="10">
        <v>0</v>
      </c>
      <c r="P17" s="10">
        <v>0.6</v>
      </c>
      <c r="Q17" s="10">
        <v>3</v>
      </c>
      <c r="R17" s="10">
        <v>6</v>
      </c>
      <c r="S17" s="10">
        <v>9</v>
      </c>
      <c r="T17" s="10">
        <v>18</v>
      </c>
      <c r="U17" s="10">
        <v>30</v>
      </c>
      <c r="V17" s="10">
        <v>45</v>
      </c>
      <c r="W17" s="10">
        <v>60</v>
      </c>
      <c r="X17" s="10">
        <v>100</v>
      </c>
      <c r="Y17" s="10">
        <v>250</v>
      </c>
      <c r="Z17" s="10">
        <v>500</v>
      </c>
    </row>
    <row r="18" spans="1:26" x14ac:dyDescent="0.25">
      <c r="A18" s="7" t="s">
        <v>6</v>
      </c>
      <c r="B18" s="8">
        <v>0.06</v>
      </c>
      <c r="C18" s="8">
        <v>4.2999999999999997E-2</v>
      </c>
      <c r="D18" s="8">
        <v>5.3999999999999999E-2</v>
      </c>
      <c r="E18" s="8">
        <v>6.0999999999999999E-2</v>
      </c>
      <c r="F18" s="8">
        <v>5.5E-2</v>
      </c>
      <c r="G18" s="8">
        <v>7.0000000000000007E-2</v>
      </c>
      <c r="H18" s="8">
        <v>0.10100000000000001</v>
      </c>
      <c r="I18" s="8">
        <v>0.11799999999999999</v>
      </c>
      <c r="J18" s="8">
        <v>0.13800000000000001</v>
      </c>
      <c r="K18" s="8">
        <v>0.19500000000000001</v>
      </c>
      <c r="L18" s="8">
        <v>0.27700000000000002</v>
      </c>
      <c r="M18" s="8">
        <v>0.28399999999999997</v>
      </c>
      <c r="N18" s="9">
        <v>562</v>
      </c>
      <c r="O18" s="5">
        <f>AVERAGE(B17,B19)</f>
        <v>4.3499999999999997E-2</v>
      </c>
      <c r="P18" s="5">
        <f t="shared" ref="P18:X18" si="3">AVERAGE(C17:C19)</f>
        <v>4.3333333333333335E-2</v>
      </c>
      <c r="Q18" s="5">
        <f t="shared" si="3"/>
        <v>5.2333333333333336E-2</v>
      </c>
      <c r="R18" s="5">
        <f t="shared" si="3"/>
        <v>5.6333333333333326E-2</v>
      </c>
      <c r="S18" s="5">
        <f t="shared" si="3"/>
        <v>0.06</v>
      </c>
      <c r="T18" s="5">
        <f t="shared" si="3"/>
        <v>7.2333333333333347E-2</v>
      </c>
      <c r="U18" s="5">
        <f t="shared" si="3"/>
        <v>9.9666666666666667E-2</v>
      </c>
      <c r="V18" s="5">
        <f t="shared" si="3"/>
        <v>0.11933333333333333</v>
      </c>
      <c r="W18" s="5">
        <f t="shared" si="3"/>
        <v>0.14033333333333334</v>
      </c>
      <c r="X18" s="5">
        <f t="shared" si="3"/>
        <v>0.20433333333333334</v>
      </c>
      <c r="Y18" s="5">
        <f>AVERAGE(L17:L19)</f>
        <v>0.28366666666666668</v>
      </c>
      <c r="Z18" s="5">
        <f>AVERAGE(M17:M19)</f>
        <v>0.26433333333333336</v>
      </c>
    </row>
    <row r="19" spans="1:26" x14ac:dyDescent="0.25">
      <c r="A19" s="7" t="s">
        <v>7</v>
      </c>
      <c r="B19" s="8">
        <v>4.5999999999999999E-2</v>
      </c>
      <c r="C19" s="8">
        <v>4.5999999999999999E-2</v>
      </c>
      <c r="D19" s="8">
        <v>5.8000000000000003E-2</v>
      </c>
      <c r="E19" s="8">
        <v>5.1999999999999998E-2</v>
      </c>
      <c r="F19" s="8">
        <v>5.8000000000000003E-2</v>
      </c>
      <c r="G19" s="8">
        <v>7.0999999999999994E-2</v>
      </c>
      <c r="H19" s="8">
        <v>0.107</v>
      </c>
      <c r="I19" s="8">
        <v>0.11700000000000001</v>
      </c>
      <c r="J19" s="8">
        <v>0.13900000000000001</v>
      </c>
      <c r="K19" s="8">
        <v>0.215</v>
      </c>
      <c r="L19" s="8">
        <v>0.28399999999999997</v>
      </c>
      <c r="M19" s="8">
        <v>0.26100000000000001</v>
      </c>
      <c r="N19" s="9">
        <v>562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1" spans="1:26" x14ac:dyDescent="0.25">
      <c r="O21" s="10">
        <v>0</v>
      </c>
      <c r="P21" s="10">
        <v>0.6</v>
      </c>
      <c r="Q21" s="10">
        <v>3</v>
      </c>
      <c r="R21" s="10">
        <v>6</v>
      </c>
      <c r="S21" s="10">
        <v>9</v>
      </c>
      <c r="T21" s="10">
        <v>18</v>
      </c>
      <c r="U21" s="10">
        <v>30</v>
      </c>
      <c r="V21" s="10">
        <v>45</v>
      </c>
      <c r="W21" s="10">
        <v>60</v>
      </c>
      <c r="X21" s="10">
        <v>100</v>
      </c>
      <c r="Y21" s="5"/>
      <c r="Z21" s="5"/>
    </row>
    <row r="22" spans="1:26" x14ac:dyDescent="0.25">
      <c r="O22" s="5">
        <f>O13-O3</f>
        <v>1.6666666666666635E-3</v>
      </c>
      <c r="P22" s="5">
        <f t="shared" ref="P22:X22" si="4">P13-P3</f>
        <v>2.0000000000000018E-3</v>
      </c>
      <c r="Q22" s="5">
        <f>Q13-Q3</f>
        <v>6.666666666666668E-3</v>
      </c>
      <c r="R22" s="5">
        <f>R13-R3</f>
        <v>1.0833333333333334E-2</v>
      </c>
      <c r="S22" s="5">
        <f t="shared" si="4"/>
        <v>1.5333333333333324E-2</v>
      </c>
      <c r="T22" s="5">
        <f t="shared" si="4"/>
        <v>2.6999999999999996E-2</v>
      </c>
      <c r="U22" s="5">
        <f t="shared" si="4"/>
        <v>4.4333333333333336E-2</v>
      </c>
      <c r="V22" s="5">
        <f t="shared" si="4"/>
        <v>6.6666666666666652E-2</v>
      </c>
      <c r="W22" s="5">
        <f t="shared" si="4"/>
        <v>8.1333333333333313E-2</v>
      </c>
      <c r="X22" s="5">
        <f t="shared" si="4"/>
        <v>0.14433333333333331</v>
      </c>
      <c r="Y22" s="5"/>
      <c r="Z2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Read, Zoe</cp:lastModifiedBy>
  <dcterms:created xsi:type="dcterms:W3CDTF">2026-02-19T14:49:02Z</dcterms:created>
  <dcterms:modified xsi:type="dcterms:W3CDTF">2026-02-19T20:50:52Z</dcterms:modified>
</cp:coreProperties>
</file>