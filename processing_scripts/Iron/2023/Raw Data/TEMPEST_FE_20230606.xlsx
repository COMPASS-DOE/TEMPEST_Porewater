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winprod-my.sharepoint.com/personal/amontg_udel_edu/Documents/PhD/Data/TEMPEST/Porewater/"/>
    </mc:Choice>
  </mc:AlternateContent>
  <xr:revisionPtr revIDLastSave="32" documentId="13_ncr:1_{EE03553B-E1CE-46EE-9732-425D43F414FA}" xr6:coauthVersionLast="47" xr6:coauthVersionMax="47" xr10:uidLastSave="{76EA27DF-BAA7-42F5-A949-F2772C8D6521}"/>
  <bookViews>
    <workbookView xWindow="-110" yWindow="-110" windowWidth="19420" windowHeight="10300" xr2:uid="{6967A191-00A4-401E-A3F0-393AE97A0AED}"/>
  </bookViews>
  <sheets>
    <sheet name="STDs Chk" sheetId="1" r:id="rId1"/>
    <sheet name="Plate Paste" sheetId="2" r:id="rId2"/>
    <sheet name="STD export" sheetId="3" r:id="rId3"/>
    <sheet name="Sample Export" sheetId="4" r:id="rId4"/>
    <sheet name="ex I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P35" i="1"/>
  <c r="R35" i="1"/>
  <c r="Q35" i="1"/>
  <c r="B12" i="1"/>
  <c r="O29" i="1"/>
  <c r="B29" i="1"/>
  <c r="O28" i="1"/>
  <c r="B28" i="1"/>
  <c r="O27" i="1"/>
  <c r="B27" i="1"/>
  <c r="O26" i="1"/>
  <c r="B26" i="1"/>
  <c r="O25" i="1"/>
  <c r="B25" i="1"/>
  <c r="O24" i="1"/>
  <c r="B24" i="1"/>
  <c r="O23" i="1"/>
  <c r="B23" i="1"/>
  <c r="O22" i="1"/>
  <c r="B22" i="1"/>
  <c r="O21" i="1"/>
  <c r="B21" i="1"/>
  <c r="O20" i="1"/>
  <c r="B20" i="1"/>
  <c r="O19" i="1"/>
  <c r="B19" i="1"/>
  <c r="O18" i="1"/>
  <c r="B18" i="1"/>
  <c r="O14" i="1"/>
  <c r="B14" i="1"/>
  <c r="O13" i="1"/>
  <c r="B13" i="1"/>
  <c r="O12" i="1"/>
  <c r="O11" i="1"/>
  <c r="B11" i="1"/>
  <c r="O10" i="1"/>
  <c r="B10" i="1"/>
  <c r="O9" i="1"/>
  <c r="B9" i="1"/>
  <c r="O8" i="1"/>
  <c r="B8" i="1"/>
  <c r="O7" i="1"/>
  <c r="B7" i="1"/>
  <c r="O6" i="1"/>
  <c r="B6" i="1"/>
  <c r="O5" i="1"/>
  <c r="B5" i="1"/>
  <c r="O4" i="1"/>
  <c r="O3" i="1"/>
</calcChain>
</file>

<file path=xl/sharedStrings.xml><?xml version="1.0" encoding="utf-8"?>
<sst xmlns="http://schemas.openxmlformats.org/spreadsheetml/2006/main" count="446" uniqueCount="77">
  <si>
    <t xml:space="preserve">First Run of the Plate (Fe2 read) </t>
  </si>
  <si>
    <t xml:space="preserve">Second Run of the Plate (Fe Total read) </t>
  </si>
  <si>
    <t>FeII Stds</t>
  </si>
  <si>
    <t>Avg Abs</t>
  </si>
  <si>
    <t>Abs1</t>
  </si>
  <si>
    <t>Abs2</t>
  </si>
  <si>
    <t>As3</t>
  </si>
  <si>
    <t>FeIII Stds</t>
  </si>
  <si>
    <t>Red. Eff</t>
  </si>
  <si>
    <t>60 uM fe(III)</t>
  </si>
  <si>
    <t xml:space="preserve">&gt;85% </t>
  </si>
  <si>
    <t>E1</t>
  </si>
  <si>
    <t>E2</t>
  </si>
  <si>
    <t>E3</t>
  </si>
  <si>
    <t xml:space="preserve">STDS1 : Read 1 </t>
  </si>
  <si>
    <t>A</t>
  </si>
  <si>
    <t>B</t>
  </si>
  <si>
    <t>C</t>
  </si>
  <si>
    <t>D</t>
  </si>
  <si>
    <t>E</t>
  </si>
  <si>
    <t>F</t>
  </si>
  <si>
    <t>G</t>
  </si>
  <si>
    <t>H</t>
  </si>
  <si>
    <t xml:space="preserve">STDS2: Read 2 </t>
  </si>
  <si>
    <t xml:space="preserve">Samples 1: Read 1 </t>
  </si>
  <si>
    <t xml:space="preserve">Samples 1: Read 2 </t>
  </si>
  <si>
    <t>IDs</t>
  </si>
  <si>
    <t>Fe_2 60uM</t>
  </si>
  <si>
    <t>Fe_2 100 uM</t>
  </si>
  <si>
    <t>Fe_3 60 uM</t>
  </si>
  <si>
    <t>Fe_3 100 uM</t>
  </si>
  <si>
    <t>Fe_2 45 uM</t>
  </si>
  <si>
    <t>Fe_2 250 uM</t>
  </si>
  <si>
    <t>Fe_3 45 uM</t>
  </si>
  <si>
    <t>Fe_3 250 uM</t>
  </si>
  <si>
    <t>Fe_2 30 uM</t>
  </si>
  <si>
    <t>Fe_2 500 uM</t>
  </si>
  <si>
    <t>Fe_3 30 uM</t>
  </si>
  <si>
    <t>Fe_3 500 uM</t>
  </si>
  <si>
    <t>Fe_2 18 uM</t>
  </si>
  <si>
    <t>Fe_3 18 uM</t>
  </si>
  <si>
    <t>Fe_2 9 uM</t>
  </si>
  <si>
    <t>Fe_3 9 uM</t>
  </si>
  <si>
    <t>Fe_2 6 uM</t>
  </si>
  <si>
    <t>Fe_3 6 uM</t>
  </si>
  <si>
    <t>Fe_2 3 uM</t>
  </si>
  <si>
    <t>Fe_3 3 uM</t>
  </si>
  <si>
    <t>Fe_2 0.6 uM</t>
  </si>
  <si>
    <t>Blank</t>
  </si>
  <si>
    <t>Fe_3 0.6 uM</t>
  </si>
  <si>
    <t>Dilutions</t>
  </si>
  <si>
    <t>Conc_uM</t>
  </si>
  <si>
    <t>NA</t>
  </si>
  <si>
    <t>C_H6_20230605</t>
  </si>
  <si>
    <t>C_I5_20230603</t>
  </si>
  <si>
    <t>C_H6_20230603</t>
  </si>
  <si>
    <t>C_F4_20230603</t>
  </si>
  <si>
    <t>C_C6_20230603</t>
  </si>
  <si>
    <t>C_D5_20230605</t>
  </si>
  <si>
    <t>FW_I5_230603</t>
  </si>
  <si>
    <t>FW_D5_20230603</t>
  </si>
  <si>
    <t>FW_C2_20230603</t>
  </si>
  <si>
    <t>SW_H3_20230603</t>
  </si>
  <si>
    <t>SW_C3_20230603</t>
  </si>
  <si>
    <t>SW_B4_20230603</t>
  </si>
  <si>
    <t>Fe(II)_0</t>
  </si>
  <si>
    <t>Fe(II)_D</t>
  </si>
  <si>
    <t>Fe(II)_A</t>
  </si>
  <si>
    <t>Fe(II)_250</t>
  </si>
  <si>
    <t>Fe(III)_0</t>
  </si>
  <si>
    <t>Fe(III)_D</t>
  </si>
  <si>
    <t>Fe(III)_A</t>
  </si>
  <si>
    <t>Fe(III)_250</t>
  </si>
  <si>
    <t>SW_C3_20230603_dup</t>
  </si>
  <si>
    <t>SW_B4_20230603_spk</t>
  </si>
  <si>
    <t>STD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</si>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</sst>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A78B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0" xfId="0" applyFill="1"/>
    <xf numFmtId="0" fontId="2" fillId="0" borderId="0" xfId="0" applyFont="1"/>
    <xf numFmtId="0" fontId="1" fillId="0" borderId="0" xfId="0" applyFont="1"/>
    <xf numFmtId="0" fontId="3" fillId="5" borderId="0" xfId="0" applyFont="1" applyFill="1" applyAlignment="1">
      <alignment horizontal="center" vertical="center" wrapText="1"/>
    </xf>
    <xf numFmtId="0" fontId="0" fillId="5" borderId="0" xfId="0" applyFill="1"/>
    <xf numFmtId="2" fontId="0" fillId="6" borderId="0" xfId="0" applyNumberFormat="1" applyFill="1"/>
    <xf numFmtId="0" fontId="0" fillId="7" borderId="1" xfId="0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8" borderId="1" xfId="0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8" fillId="0" borderId="0" xfId="0" applyFont="1"/>
    <xf numFmtId="1" fontId="4" fillId="0" borderId="5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0" fillId="0" borderId="4" xfId="0" applyBorder="1"/>
    <xf numFmtId="1" fontId="4" fillId="0" borderId="8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521072171678023"/>
                  <c:y val="0.402012490134097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Chk'!$A$3:$A$10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'STDs Chk'!$B$3:$B$10</c:f>
              <c:numCache>
                <c:formatCode>General</c:formatCode>
                <c:ptCount val="8"/>
                <c:pt idx="0">
                  <c:v>0.15666666666666668</c:v>
                </c:pt>
                <c:pt idx="1">
                  <c:v>0.12033333333333333</c:v>
                </c:pt>
                <c:pt idx="2">
                  <c:v>9.2000000000000012E-2</c:v>
                </c:pt>
                <c:pt idx="3">
                  <c:v>7.2333333333333347E-2</c:v>
                </c:pt>
                <c:pt idx="4">
                  <c:v>5.0999999999999997E-2</c:v>
                </c:pt>
                <c:pt idx="5">
                  <c:v>4.9000000000000009E-2</c:v>
                </c:pt>
                <c:pt idx="6">
                  <c:v>4.2333333333333334E-2</c:v>
                </c:pt>
                <c:pt idx="7">
                  <c:v>3.7666666666666661E-2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B-4EEB-AB92-3870A57F3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772224"/>
        <c:axId val="524770912"/>
      </c:scatterChart>
      <c:valAx>
        <c:axId val="52477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70912"/>
        <c:crosses val="autoZero"/>
        <c:crossBetween val="midCat"/>
      </c:valAx>
      <c:valAx>
        <c:axId val="5247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7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309924097325745E-2"/>
                  <c:y val="0.34063973510170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Chk'!$N$3:$N$11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'STDs Chk'!$O$3:$O$11</c:f>
              <c:numCache>
                <c:formatCode>General</c:formatCode>
                <c:ptCount val="9"/>
                <c:pt idx="0">
                  <c:v>0.31433333333333335</c:v>
                </c:pt>
                <c:pt idx="1">
                  <c:v>0.21433333333333335</c:v>
                </c:pt>
                <c:pt idx="2">
                  <c:v>0.17699999999999996</c:v>
                </c:pt>
                <c:pt idx="3">
                  <c:v>0.11966666666666666</c:v>
                </c:pt>
                <c:pt idx="4">
                  <c:v>7.5333333333333335E-2</c:v>
                </c:pt>
                <c:pt idx="5">
                  <c:v>6.0999999999999999E-2</c:v>
                </c:pt>
                <c:pt idx="6">
                  <c:v>5.0333333333333334E-2</c:v>
                </c:pt>
                <c:pt idx="7">
                  <c:v>3.9333333333333331E-2</c:v>
                </c:pt>
                <c:pt idx="8">
                  <c:v>0.41066666666666668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38-40D3-BA69-E7D8C51E8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104000"/>
        <c:axId val="573104328"/>
      </c:scatterChart>
      <c:valAx>
        <c:axId val="57310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4328"/>
        <c:crosses val="autoZero"/>
        <c:crossBetween val="midCat"/>
      </c:valAx>
      <c:valAx>
        <c:axId val="57310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Chk'!$O$17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164260717410324E-2"/>
                  <c:y val="0.389751020705745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Chk'!$N$18:$N$25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'STDs Chk'!$O$18:$O$25</c:f>
              <c:numCache>
                <c:formatCode>General</c:formatCode>
                <c:ptCount val="8"/>
                <c:pt idx="0">
                  <c:v>0.17600000000000002</c:v>
                </c:pt>
                <c:pt idx="1">
                  <c:v>0.13966666666666669</c:v>
                </c:pt>
                <c:pt idx="2">
                  <c:v>0.10799999999999998</c:v>
                </c:pt>
                <c:pt idx="3">
                  <c:v>8.3666666666666667E-2</c:v>
                </c:pt>
                <c:pt idx="4">
                  <c:v>5.9666666666666666E-2</c:v>
                </c:pt>
                <c:pt idx="5">
                  <c:v>5.4333333333333338E-2</c:v>
                </c:pt>
                <c:pt idx="6">
                  <c:v>4.6333333333333337E-2</c:v>
                </c:pt>
                <c:pt idx="7">
                  <c:v>4.1333333333333333E-2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1-4B40-A320-344AB043D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101376"/>
        <c:axId val="573101704"/>
      </c:scatterChart>
      <c:valAx>
        <c:axId val="57310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1704"/>
        <c:crosses val="autoZero"/>
        <c:crossBetween val="midCat"/>
      </c:valAx>
      <c:valAx>
        <c:axId val="57310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Chk'!$A$11:$A$14</c:f>
              <c:numCache>
                <c:formatCode>General</c:formatCode>
                <c:ptCount val="4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0</c:v>
                </c:pt>
              </c:numCache>
            </c:numRef>
          </c:xVal>
          <c:yVal>
            <c:numRef>
              <c:f>'STDs Chk'!$B$11:$B$14</c:f>
              <c:numCache>
                <c:formatCode>General</c:formatCode>
                <c:ptCount val="4"/>
                <c:pt idx="0">
                  <c:v>0.23566666666666666</c:v>
                </c:pt>
                <c:pt idx="1">
                  <c:v>0.45200000000000001</c:v>
                </c:pt>
                <c:pt idx="2">
                  <c:v>0.754</c:v>
                </c:pt>
                <c:pt idx="3">
                  <c:v>3.6999999999999998E-2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F-4FFE-BDE7-6F0DE0F6E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823263"/>
        <c:axId val="506595775"/>
      </c:scatterChart>
      <c:valAx>
        <c:axId val="50782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95775"/>
        <c:crosses val="autoZero"/>
        <c:crossBetween val="midCat"/>
      </c:valAx>
      <c:valAx>
        <c:axId val="5065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2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</xdr:row>
      <xdr:rowOff>185736</xdr:rowOff>
    </xdr:from>
    <xdr:to>
      <xdr:col>11</xdr:col>
      <xdr:colOff>219075</xdr:colOff>
      <xdr:row>13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EF1625-E47B-D4F7-389A-739B9A378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323850</xdr:colOff>
      <xdr:row>2</xdr:row>
      <xdr:rowOff>9525</xdr:rowOff>
    </xdr:from>
    <xdr:to>
      <xdr:col>24</xdr:col>
      <xdr:colOff>190500</xdr:colOff>
      <xdr:row>13</xdr:row>
      <xdr:rowOff>147637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D94D48-BA70-A8A0-5784-39E782234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114300</xdr:colOff>
      <xdr:row>14</xdr:row>
      <xdr:rowOff>90487</xdr:rowOff>
    </xdr:from>
    <xdr:to>
      <xdr:col>26</xdr:col>
      <xdr:colOff>419100</xdr:colOff>
      <xdr:row>28</xdr:row>
      <xdr:rowOff>166687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B498B4-3DBD-B12B-2D16-82738C3C8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323850</xdr:colOff>
      <xdr:row>15</xdr:row>
      <xdr:rowOff>93663</xdr:rowOff>
    </xdr:from>
    <xdr:to>
      <xdr:col>11</xdr:col>
      <xdr:colOff>304800</xdr:colOff>
      <xdr:row>28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2DA7ED-CE44-9990-8C01-DAD1B834A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F016-EC7A-4C83-93FF-781250A8CA88}">
  <dimension ref="A1:Y35"/>
  <sheetViews>
    <sheetView tabSelected="1" workbookViewId="0">
      <selection activeCell="C12" sqref="C12"/>
    </sheetView>
  </sheetViews>
  <sheetFormatPr defaultRowHeight="14.5" x14ac:dyDescent="0.35"/>
  <cols>
    <col min="13" max="13" width="5.7265625" style="1" customWidth="1"/>
  </cols>
  <sheetData>
    <row r="1" spans="1:25" x14ac:dyDescent="0.3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N1" s="32" t="s">
        <v>1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</row>
    <row r="3" spans="1:25" x14ac:dyDescent="0.35">
      <c r="A3">
        <v>60</v>
      </c>
      <c r="B3">
        <f>AVERAGE(C3:E3)</f>
        <v>0.15666666666666668</v>
      </c>
      <c r="C3">
        <v>0.14799999999999999</v>
      </c>
      <c r="D3">
        <v>0.13700000000000001</v>
      </c>
      <c r="E3">
        <v>0.185</v>
      </c>
      <c r="N3">
        <v>60</v>
      </c>
      <c r="O3">
        <f>AVERAGE(P3:R3)</f>
        <v>0.31433333333333335</v>
      </c>
      <c r="P3">
        <v>0.32100000000000001</v>
      </c>
      <c r="Q3">
        <v>0.308</v>
      </c>
      <c r="R3">
        <v>0.314</v>
      </c>
    </row>
    <row r="4" spans="1:25" x14ac:dyDescent="0.35">
      <c r="A4">
        <v>45</v>
      </c>
      <c r="B4">
        <f>AVERAGE(C4:E4)</f>
        <v>0.12033333333333333</v>
      </c>
      <c r="C4">
        <v>0.121</v>
      </c>
      <c r="D4">
        <v>0.11799999999999999</v>
      </c>
      <c r="E4">
        <v>0.122</v>
      </c>
      <c r="N4">
        <v>45</v>
      </c>
      <c r="O4">
        <f t="shared" ref="O4:O14" si="0">AVERAGE(P4:R4)</f>
        <v>0.21433333333333335</v>
      </c>
      <c r="P4">
        <v>0.22500000000000001</v>
      </c>
      <c r="Q4">
        <v>0.22700000000000001</v>
      </c>
      <c r="R4">
        <v>0.191</v>
      </c>
    </row>
    <row r="5" spans="1:25" x14ac:dyDescent="0.35">
      <c r="A5">
        <v>30</v>
      </c>
      <c r="B5">
        <f t="shared" ref="B4:B14" si="1">AVERAGE(C5:E5)</f>
        <v>9.2000000000000012E-2</v>
      </c>
      <c r="C5">
        <v>9.9000000000000005E-2</v>
      </c>
      <c r="D5">
        <v>8.7999999999999995E-2</v>
      </c>
      <c r="E5">
        <v>8.8999999999999996E-2</v>
      </c>
      <c r="N5">
        <v>30</v>
      </c>
      <c r="O5">
        <f t="shared" si="0"/>
        <v>0.17699999999999996</v>
      </c>
      <c r="P5">
        <v>0.186</v>
      </c>
      <c r="Q5">
        <v>0.17199999999999999</v>
      </c>
      <c r="R5">
        <v>0.17299999999999999</v>
      </c>
    </row>
    <row r="6" spans="1:25" x14ac:dyDescent="0.35">
      <c r="A6">
        <v>18</v>
      </c>
      <c r="B6">
        <f t="shared" si="1"/>
        <v>7.2333333333333347E-2</v>
      </c>
      <c r="C6">
        <v>6.5000000000000002E-2</v>
      </c>
      <c r="D6">
        <v>7.3999999999999996E-2</v>
      </c>
      <c r="E6">
        <v>7.8E-2</v>
      </c>
      <c r="N6">
        <v>18</v>
      </c>
      <c r="O6">
        <f t="shared" si="0"/>
        <v>0.11966666666666666</v>
      </c>
      <c r="P6">
        <v>0.11700000000000001</v>
      </c>
      <c r="Q6">
        <v>0.12</v>
      </c>
      <c r="R6">
        <v>0.122</v>
      </c>
    </row>
    <row r="7" spans="1:25" x14ac:dyDescent="0.35">
      <c r="A7">
        <v>9</v>
      </c>
      <c r="B7">
        <f t="shared" si="1"/>
        <v>5.0999999999999997E-2</v>
      </c>
      <c r="C7">
        <v>5.1999999999999998E-2</v>
      </c>
      <c r="D7">
        <v>5.0999999999999997E-2</v>
      </c>
      <c r="E7">
        <v>0.05</v>
      </c>
      <c r="N7">
        <v>9</v>
      </c>
      <c r="O7">
        <f t="shared" si="0"/>
        <v>7.5333333333333335E-2</v>
      </c>
      <c r="P7">
        <v>7.8E-2</v>
      </c>
      <c r="Q7">
        <v>8.2000000000000003E-2</v>
      </c>
      <c r="R7">
        <v>6.6000000000000003E-2</v>
      </c>
    </row>
    <row r="8" spans="1:25" x14ac:dyDescent="0.35">
      <c r="A8">
        <v>6</v>
      </c>
      <c r="B8">
        <f t="shared" si="1"/>
        <v>4.9000000000000009E-2</v>
      </c>
      <c r="C8">
        <v>0.05</v>
      </c>
      <c r="D8">
        <v>4.9000000000000002E-2</v>
      </c>
      <c r="E8">
        <v>4.8000000000000001E-2</v>
      </c>
      <c r="N8">
        <v>6</v>
      </c>
      <c r="O8">
        <f t="shared" si="0"/>
        <v>6.0999999999999999E-2</v>
      </c>
      <c r="P8">
        <v>6.8000000000000005E-2</v>
      </c>
      <c r="Q8">
        <v>6.7000000000000004E-2</v>
      </c>
      <c r="R8">
        <v>4.8000000000000001E-2</v>
      </c>
    </row>
    <row r="9" spans="1:25" x14ac:dyDescent="0.35">
      <c r="A9">
        <v>3</v>
      </c>
      <c r="B9">
        <f t="shared" si="1"/>
        <v>4.2333333333333334E-2</v>
      </c>
      <c r="C9">
        <v>4.2000000000000003E-2</v>
      </c>
      <c r="D9">
        <v>4.2999999999999997E-2</v>
      </c>
      <c r="E9">
        <v>4.2000000000000003E-2</v>
      </c>
      <c r="N9">
        <v>3</v>
      </c>
      <c r="O9">
        <f t="shared" si="0"/>
        <v>5.0333333333333334E-2</v>
      </c>
      <c r="P9">
        <v>4.9000000000000002E-2</v>
      </c>
      <c r="Q9">
        <v>5.0999999999999997E-2</v>
      </c>
      <c r="R9">
        <v>5.0999999999999997E-2</v>
      </c>
    </row>
    <row r="10" spans="1:25" x14ac:dyDescent="0.35">
      <c r="A10">
        <v>0.6</v>
      </c>
      <c r="B10">
        <f t="shared" si="1"/>
        <v>3.7666666666666661E-2</v>
      </c>
      <c r="C10">
        <v>3.7999999999999999E-2</v>
      </c>
      <c r="D10">
        <v>3.7999999999999999E-2</v>
      </c>
      <c r="E10">
        <v>3.6999999999999998E-2</v>
      </c>
      <c r="N10">
        <v>0.6</v>
      </c>
      <c r="O10">
        <f t="shared" si="0"/>
        <v>3.9333333333333331E-2</v>
      </c>
      <c r="P10">
        <v>3.9E-2</v>
      </c>
      <c r="Q10">
        <v>0.04</v>
      </c>
      <c r="R10">
        <v>3.9E-2</v>
      </c>
    </row>
    <row r="11" spans="1:25" x14ac:dyDescent="0.35">
      <c r="A11">
        <v>100</v>
      </c>
      <c r="B11">
        <f t="shared" si="1"/>
        <v>0.23566666666666666</v>
      </c>
      <c r="C11">
        <v>0.24099999999999999</v>
      </c>
      <c r="D11">
        <v>0.23</v>
      </c>
      <c r="E11">
        <v>0.23599999999999999</v>
      </c>
      <c r="N11">
        <v>100</v>
      </c>
      <c r="O11">
        <f t="shared" si="0"/>
        <v>0.41066666666666668</v>
      </c>
      <c r="P11">
        <v>0.43</v>
      </c>
      <c r="Q11">
        <v>0.40699999999999997</v>
      </c>
      <c r="R11">
        <v>0.39500000000000002</v>
      </c>
    </row>
    <row r="12" spans="1:25" x14ac:dyDescent="0.35">
      <c r="A12">
        <v>250</v>
      </c>
      <c r="B12">
        <f>AVERAGE(C12,E12)</f>
        <v>0.45200000000000001</v>
      </c>
      <c r="C12" s="21">
        <v>0.45</v>
      </c>
      <c r="D12" s="3">
        <v>0.58299999999999996</v>
      </c>
      <c r="E12">
        <v>0.45400000000000001</v>
      </c>
      <c r="N12">
        <v>250</v>
      </c>
      <c r="O12">
        <f>AVERAGE(P12:R12)</f>
        <v>0.70966666666666667</v>
      </c>
      <c r="P12" s="3">
        <v>0.66400000000000003</v>
      </c>
      <c r="Q12">
        <v>0.75600000000000001</v>
      </c>
      <c r="R12">
        <v>0.70899999999999996</v>
      </c>
    </row>
    <row r="13" spans="1:25" x14ac:dyDescent="0.35">
      <c r="A13">
        <v>500</v>
      </c>
      <c r="B13">
        <f t="shared" si="1"/>
        <v>0.754</v>
      </c>
      <c r="C13">
        <v>0.71299999999999997</v>
      </c>
      <c r="D13">
        <v>0.77500000000000002</v>
      </c>
      <c r="E13">
        <v>0.77400000000000002</v>
      </c>
      <c r="N13">
        <v>500</v>
      </c>
      <c r="O13">
        <f t="shared" si="0"/>
        <v>1.0040000000000002</v>
      </c>
      <c r="P13">
        <v>0.91700000000000004</v>
      </c>
      <c r="Q13">
        <v>1.177</v>
      </c>
      <c r="R13">
        <v>0.91800000000000004</v>
      </c>
    </row>
    <row r="14" spans="1:25" x14ac:dyDescent="0.35">
      <c r="A14">
        <v>0</v>
      </c>
      <c r="B14">
        <f t="shared" si="1"/>
        <v>3.6999999999999998E-2</v>
      </c>
      <c r="C14">
        <v>3.6999999999999998E-2</v>
      </c>
      <c r="D14">
        <v>3.6999999999999998E-2</v>
      </c>
      <c r="E14">
        <v>3.6999999999999998E-2</v>
      </c>
      <c r="N14">
        <v>0</v>
      </c>
      <c r="O14">
        <f t="shared" si="0"/>
        <v>3.7666666666666661E-2</v>
      </c>
      <c r="P14">
        <v>3.7999999999999999E-2</v>
      </c>
      <c r="Q14">
        <v>3.7999999999999999E-2</v>
      </c>
      <c r="R14">
        <v>3.6999999999999998E-2</v>
      </c>
    </row>
    <row r="17" spans="1:18" x14ac:dyDescent="0.35">
      <c r="A17" s="2" t="s">
        <v>7</v>
      </c>
      <c r="B17" s="2" t="s">
        <v>3</v>
      </c>
      <c r="C17" s="2" t="s">
        <v>4</v>
      </c>
      <c r="D17" s="2" t="s">
        <v>5</v>
      </c>
      <c r="E17" s="2" t="s">
        <v>6</v>
      </c>
      <c r="N17" s="2" t="s">
        <v>7</v>
      </c>
      <c r="O17" s="2" t="s">
        <v>3</v>
      </c>
      <c r="P17" s="2" t="s">
        <v>4</v>
      </c>
      <c r="Q17" s="2" t="s">
        <v>5</v>
      </c>
      <c r="R17" s="2" t="s">
        <v>6</v>
      </c>
    </row>
    <row r="18" spans="1:18" x14ac:dyDescent="0.35">
      <c r="A18">
        <v>60</v>
      </c>
      <c r="B18">
        <f>AVERAGE(C18:E18)</f>
        <v>0.04</v>
      </c>
      <c r="C18">
        <v>3.9E-2</v>
      </c>
      <c r="D18">
        <v>4.1000000000000002E-2</v>
      </c>
      <c r="E18">
        <v>0.04</v>
      </c>
      <c r="N18">
        <v>60</v>
      </c>
      <c r="O18">
        <f>AVERAGE(P18:R18)</f>
        <v>0.17600000000000002</v>
      </c>
      <c r="P18">
        <v>0.16400000000000001</v>
      </c>
      <c r="Q18">
        <v>0.19</v>
      </c>
      <c r="R18">
        <v>0.17399999999999999</v>
      </c>
    </row>
    <row r="19" spans="1:18" x14ac:dyDescent="0.35">
      <c r="A19">
        <v>45</v>
      </c>
      <c r="B19">
        <f t="shared" ref="B19:B29" si="2">AVERAGE(C19:E19)</f>
        <v>3.9E-2</v>
      </c>
      <c r="C19">
        <v>0.04</v>
      </c>
      <c r="D19">
        <v>3.9E-2</v>
      </c>
      <c r="E19">
        <v>3.7999999999999999E-2</v>
      </c>
      <c r="N19">
        <v>45</v>
      </c>
      <c r="O19">
        <f t="shared" ref="O19:O29" si="3">AVERAGE(P19:R19)</f>
        <v>0.13966666666666669</v>
      </c>
      <c r="P19">
        <v>0.113</v>
      </c>
      <c r="Q19">
        <v>0.17</v>
      </c>
      <c r="R19">
        <v>0.13600000000000001</v>
      </c>
    </row>
    <row r="20" spans="1:18" x14ac:dyDescent="0.35">
      <c r="A20">
        <v>30</v>
      </c>
      <c r="B20">
        <f t="shared" si="2"/>
        <v>3.8666666666666662E-2</v>
      </c>
      <c r="C20">
        <v>3.7999999999999999E-2</v>
      </c>
      <c r="D20">
        <v>3.9E-2</v>
      </c>
      <c r="E20">
        <v>3.9E-2</v>
      </c>
      <c r="N20">
        <v>30</v>
      </c>
      <c r="O20">
        <f t="shared" si="3"/>
        <v>0.10799999999999998</v>
      </c>
      <c r="P20">
        <v>0.11899999999999999</v>
      </c>
      <c r="Q20">
        <v>0.10199999999999999</v>
      </c>
      <c r="R20">
        <v>0.10299999999999999</v>
      </c>
    </row>
    <row r="21" spans="1:18" x14ac:dyDescent="0.35">
      <c r="A21">
        <v>18</v>
      </c>
      <c r="B21">
        <f t="shared" si="2"/>
        <v>3.7999999999999999E-2</v>
      </c>
      <c r="C21">
        <v>3.7999999999999999E-2</v>
      </c>
      <c r="D21">
        <v>3.7999999999999999E-2</v>
      </c>
      <c r="E21">
        <v>3.7999999999999999E-2</v>
      </c>
      <c r="N21">
        <v>18</v>
      </c>
      <c r="O21">
        <f t="shared" si="3"/>
        <v>8.3666666666666667E-2</v>
      </c>
      <c r="P21">
        <v>8.4000000000000005E-2</v>
      </c>
      <c r="Q21">
        <v>7.9000000000000001E-2</v>
      </c>
      <c r="R21">
        <v>8.7999999999999995E-2</v>
      </c>
    </row>
    <row r="22" spans="1:18" x14ac:dyDescent="0.35">
      <c r="A22">
        <v>9</v>
      </c>
      <c r="B22">
        <f t="shared" si="2"/>
        <v>3.7999999999999999E-2</v>
      </c>
      <c r="C22">
        <v>3.7999999999999999E-2</v>
      </c>
      <c r="D22">
        <v>3.7999999999999999E-2</v>
      </c>
      <c r="E22">
        <v>3.7999999999999999E-2</v>
      </c>
      <c r="N22">
        <v>9</v>
      </c>
      <c r="O22">
        <f t="shared" si="3"/>
        <v>5.9666666666666666E-2</v>
      </c>
      <c r="P22">
        <v>6.0999999999999999E-2</v>
      </c>
      <c r="Q22">
        <v>6.2E-2</v>
      </c>
      <c r="R22">
        <v>5.6000000000000001E-2</v>
      </c>
    </row>
    <row r="23" spans="1:18" x14ac:dyDescent="0.35">
      <c r="A23">
        <v>6</v>
      </c>
      <c r="B23">
        <f t="shared" si="2"/>
        <v>3.6999999999999998E-2</v>
      </c>
      <c r="C23">
        <v>3.6999999999999998E-2</v>
      </c>
      <c r="D23">
        <v>3.6999999999999998E-2</v>
      </c>
      <c r="E23">
        <v>3.6999999999999998E-2</v>
      </c>
      <c r="N23">
        <v>6</v>
      </c>
      <c r="O23">
        <f t="shared" si="3"/>
        <v>5.4333333333333338E-2</v>
      </c>
      <c r="P23">
        <v>5.3999999999999999E-2</v>
      </c>
      <c r="Q23">
        <v>5.7000000000000002E-2</v>
      </c>
      <c r="R23">
        <v>5.1999999999999998E-2</v>
      </c>
    </row>
    <row r="24" spans="1:18" x14ac:dyDescent="0.35">
      <c r="A24">
        <v>3</v>
      </c>
      <c r="B24">
        <f t="shared" si="2"/>
        <v>3.7666666666666661E-2</v>
      </c>
      <c r="C24">
        <v>3.6999999999999998E-2</v>
      </c>
      <c r="D24">
        <v>3.7999999999999999E-2</v>
      </c>
      <c r="E24">
        <v>3.7999999999999999E-2</v>
      </c>
      <c r="N24">
        <v>3</v>
      </c>
      <c r="O24">
        <f t="shared" si="3"/>
        <v>4.6333333333333337E-2</v>
      </c>
      <c r="P24">
        <v>4.8000000000000001E-2</v>
      </c>
      <c r="Q24">
        <v>4.5999999999999999E-2</v>
      </c>
      <c r="R24">
        <v>4.4999999999999998E-2</v>
      </c>
    </row>
    <row r="25" spans="1:18" x14ac:dyDescent="0.35">
      <c r="A25">
        <v>0.6</v>
      </c>
      <c r="B25">
        <f t="shared" si="2"/>
        <v>4.0333333333333332E-2</v>
      </c>
      <c r="C25">
        <v>3.7999999999999999E-2</v>
      </c>
      <c r="D25">
        <v>3.7999999999999999E-2</v>
      </c>
      <c r="E25">
        <v>4.4999999999999998E-2</v>
      </c>
      <c r="N25">
        <v>0.6</v>
      </c>
      <c r="O25">
        <f t="shared" si="3"/>
        <v>4.1333333333333333E-2</v>
      </c>
      <c r="P25">
        <v>0.04</v>
      </c>
      <c r="Q25">
        <v>3.9E-2</v>
      </c>
      <c r="R25">
        <v>4.4999999999999998E-2</v>
      </c>
    </row>
    <row r="26" spans="1:18" x14ac:dyDescent="0.35">
      <c r="A26">
        <v>100</v>
      </c>
      <c r="B26">
        <f t="shared" si="2"/>
        <v>4.1000000000000002E-2</v>
      </c>
      <c r="C26">
        <v>0.04</v>
      </c>
      <c r="D26">
        <v>4.1000000000000002E-2</v>
      </c>
      <c r="E26">
        <v>4.2000000000000003E-2</v>
      </c>
      <c r="N26">
        <v>100</v>
      </c>
      <c r="O26">
        <f t="shared" si="3"/>
        <v>0.23266666666666666</v>
      </c>
      <c r="P26">
        <v>0.192</v>
      </c>
      <c r="Q26">
        <v>0.29099999999999998</v>
      </c>
      <c r="R26">
        <v>0.215</v>
      </c>
    </row>
    <row r="27" spans="1:18" x14ac:dyDescent="0.35">
      <c r="A27">
        <v>250</v>
      </c>
      <c r="B27">
        <f t="shared" si="2"/>
        <v>4.2000000000000003E-2</v>
      </c>
      <c r="C27">
        <v>4.2000000000000003E-2</v>
      </c>
      <c r="D27">
        <v>4.2999999999999997E-2</v>
      </c>
      <c r="E27">
        <v>4.1000000000000002E-2</v>
      </c>
      <c r="N27">
        <v>250</v>
      </c>
      <c r="O27">
        <f t="shared" si="3"/>
        <v>0.316</v>
      </c>
      <c r="P27">
        <v>0.312</v>
      </c>
      <c r="Q27">
        <v>0.33900000000000002</v>
      </c>
      <c r="R27">
        <v>0.29699999999999999</v>
      </c>
    </row>
    <row r="28" spans="1:18" x14ac:dyDescent="0.35">
      <c r="A28">
        <v>500</v>
      </c>
      <c r="B28">
        <f t="shared" si="2"/>
        <v>4.2000000000000003E-2</v>
      </c>
      <c r="C28">
        <v>4.2000000000000003E-2</v>
      </c>
      <c r="D28">
        <v>4.1000000000000002E-2</v>
      </c>
      <c r="E28">
        <v>4.2999999999999997E-2</v>
      </c>
      <c r="N28">
        <v>500</v>
      </c>
      <c r="O28">
        <f>AVERAGE(P28)</f>
        <v>0.317</v>
      </c>
      <c r="P28">
        <v>0.317</v>
      </c>
      <c r="Q28">
        <v>0.42</v>
      </c>
      <c r="R28">
        <v>0.32500000000000001</v>
      </c>
    </row>
    <row r="29" spans="1:18" x14ac:dyDescent="0.35">
      <c r="A29">
        <v>0</v>
      </c>
      <c r="B29">
        <f t="shared" si="2"/>
        <v>3.7333333333333329E-2</v>
      </c>
      <c r="C29">
        <v>3.6999999999999998E-2</v>
      </c>
      <c r="D29">
        <v>3.7999999999999999E-2</v>
      </c>
      <c r="E29">
        <v>3.6999999999999998E-2</v>
      </c>
      <c r="N29">
        <v>0</v>
      </c>
      <c r="O29">
        <f t="shared" si="3"/>
        <v>3.7999999999999999E-2</v>
      </c>
      <c r="P29">
        <v>3.7999999999999999E-2</v>
      </c>
      <c r="Q29">
        <v>3.7999999999999999E-2</v>
      </c>
      <c r="R29">
        <v>3.7999999999999999E-2</v>
      </c>
    </row>
    <row r="33" spans="15:18" x14ac:dyDescent="0.35">
      <c r="O33" s="4" t="s">
        <v>8</v>
      </c>
      <c r="P33" s="5" t="s">
        <v>9</v>
      </c>
      <c r="Q33" s="5"/>
      <c r="R33" s="5" t="s">
        <v>10</v>
      </c>
    </row>
    <row r="34" spans="15:18" x14ac:dyDescent="0.35">
      <c r="P34" t="s">
        <v>11</v>
      </c>
      <c r="Q34" t="s">
        <v>12</v>
      </c>
      <c r="R34" t="s">
        <v>13</v>
      </c>
    </row>
    <row r="35" spans="15:18" x14ac:dyDescent="0.35">
      <c r="P35" s="6">
        <f>((P18/0.8)/C3)*100</f>
        <v>138.51351351351352</v>
      </c>
      <c r="Q35" s="6">
        <f>((Q18/0.8)/D3)*100</f>
        <v>173.3576642335766</v>
      </c>
      <c r="R35" s="6">
        <f>((R18/0.8)/E3)*100</f>
        <v>117.56756756756755</v>
      </c>
    </row>
  </sheetData>
  <mergeCells count="2">
    <mergeCell ref="A1:L1"/>
    <mergeCell ref="N1:Y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5B15-A5EE-46E6-85E0-298C328CE1B6}">
  <dimension ref="A1:N44"/>
  <sheetViews>
    <sheetView topLeftCell="A7" workbookViewId="0">
      <selection activeCell="B37" sqref="B37:M44"/>
    </sheetView>
  </sheetViews>
  <sheetFormatPr defaultRowHeight="14.5" x14ac:dyDescent="0.35"/>
  <sheetData>
    <row r="1" spans="1:14" x14ac:dyDescent="0.35">
      <c r="A1" t="s">
        <v>14</v>
      </c>
    </row>
    <row r="3" spans="1:14" x14ac:dyDescent="0.35">
      <c r="A3" s="7"/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</row>
    <row r="4" spans="1:14" x14ac:dyDescent="0.35">
      <c r="A4" s="8" t="s">
        <v>15</v>
      </c>
      <c r="B4" s="9">
        <v>0.14799999999999999</v>
      </c>
      <c r="C4" s="9">
        <v>0.13700000000000001</v>
      </c>
      <c r="D4" s="9">
        <v>0.185</v>
      </c>
      <c r="E4" s="9">
        <v>0.24099999999999999</v>
      </c>
      <c r="F4" s="9">
        <v>0.23</v>
      </c>
      <c r="G4" s="9">
        <v>0.23599999999999999</v>
      </c>
      <c r="H4" s="9">
        <v>3.9E-2</v>
      </c>
      <c r="I4" s="9">
        <v>4.1000000000000002E-2</v>
      </c>
      <c r="J4" s="9">
        <v>0.04</v>
      </c>
      <c r="K4" s="9">
        <v>0.04</v>
      </c>
      <c r="L4" s="9">
        <v>4.1000000000000002E-2</v>
      </c>
      <c r="M4" s="9">
        <v>4.2000000000000003E-2</v>
      </c>
      <c r="N4" s="10">
        <v>562</v>
      </c>
    </row>
    <row r="5" spans="1:14" x14ac:dyDescent="0.35">
      <c r="A5" s="8" t="s">
        <v>16</v>
      </c>
      <c r="B5" s="9">
        <v>0.121</v>
      </c>
      <c r="C5" s="9">
        <v>0.11799999999999999</v>
      </c>
      <c r="D5" s="9">
        <v>0.122</v>
      </c>
      <c r="E5" s="9">
        <v>0.45</v>
      </c>
      <c r="F5" s="9">
        <v>0.58299999999999996</v>
      </c>
      <c r="G5" s="9">
        <v>0.45400000000000001</v>
      </c>
      <c r="H5" s="9">
        <v>0.04</v>
      </c>
      <c r="I5" s="9">
        <v>3.9E-2</v>
      </c>
      <c r="J5" s="9">
        <v>3.7999999999999999E-2</v>
      </c>
      <c r="K5" s="9">
        <v>4.2000000000000003E-2</v>
      </c>
      <c r="L5" s="9">
        <v>4.2999999999999997E-2</v>
      </c>
      <c r="M5" s="9">
        <v>4.1000000000000002E-2</v>
      </c>
      <c r="N5" s="10">
        <v>562</v>
      </c>
    </row>
    <row r="6" spans="1:14" x14ac:dyDescent="0.35">
      <c r="A6" s="8" t="s">
        <v>17</v>
      </c>
      <c r="B6" s="9">
        <v>9.9000000000000005E-2</v>
      </c>
      <c r="C6" s="9">
        <v>8.7999999999999995E-2</v>
      </c>
      <c r="D6" s="9">
        <v>8.8999999999999996E-2</v>
      </c>
      <c r="E6" s="9">
        <v>0.71299999999999997</v>
      </c>
      <c r="F6" s="9">
        <v>0.77500000000000002</v>
      </c>
      <c r="G6" s="9">
        <v>0.77400000000000002</v>
      </c>
      <c r="H6" s="9">
        <v>3.7999999999999999E-2</v>
      </c>
      <c r="I6" s="9">
        <v>3.9E-2</v>
      </c>
      <c r="J6" s="9">
        <v>3.9E-2</v>
      </c>
      <c r="K6" s="9">
        <v>4.2000000000000003E-2</v>
      </c>
      <c r="L6" s="9">
        <v>4.1000000000000002E-2</v>
      </c>
      <c r="M6" s="9">
        <v>4.2999999999999997E-2</v>
      </c>
      <c r="N6" s="10">
        <v>562</v>
      </c>
    </row>
    <row r="7" spans="1:14" x14ac:dyDescent="0.35">
      <c r="A7" s="8" t="s">
        <v>18</v>
      </c>
      <c r="B7" s="9">
        <v>6.5000000000000002E-2</v>
      </c>
      <c r="C7" s="9">
        <v>7.3999999999999996E-2</v>
      </c>
      <c r="D7" s="9">
        <v>7.8E-2</v>
      </c>
      <c r="E7" s="9">
        <v>4.7E-2</v>
      </c>
      <c r="F7" s="9">
        <v>4.7E-2</v>
      </c>
      <c r="G7" s="9">
        <v>4.7E-2</v>
      </c>
      <c r="H7" s="9">
        <v>3.7999999999999999E-2</v>
      </c>
      <c r="I7" s="9">
        <v>3.7999999999999999E-2</v>
      </c>
      <c r="J7" s="9">
        <v>3.7999999999999999E-2</v>
      </c>
      <c r="K7" s="9">
        <v>3.7999999999999999E-2</v>
      </c>
      <c r="L7" s="9">
        <v>3.7999999999999999E-2</v>
      </c>
      <c r="M7" s="9">
        <v>3.7999999999999999E-2</v>
      </c>
      <c r="N7" s="10">
        <v>562</v>
      </c>
    </row>
    <row r="8" spans="1:14" x14ac:dyDescent="0.35">
      <c r="A8" s="8" t="s">
        <v>19</v>
      </c>
      <c r="B8" s="9">
        <v>5.1999999999999998E-2</v>
      </c>
      <c r="C8" s="9">
        <v>5.0999999999999997E-2</v>
      </c>
      <c r="D8" s="9">
        <v>0.05</v>
      </c>
      <c r="E8" s="9">
        <v>4.7E-2</v>
      </c>
      <c r="F8" s="9">
        <v>4.7E-2</v>
      </c>
      <c r="G8" s="9">
        <v>4.7E-2</v>
      </c>
      <c r="H8" s="9">
        <v>3.6999999999999998E-2</v>
      </c>
      <c r="I8" s="9">
        <v>4.7E-2</v>
      </c>
      <c r="J8" s="9">
        <v>4.7E-2</v>
      </c>
      <c r="K8" s="9">
        <v>4.7E-2</v>
      </c>
      <c r="L8" s="9">
        <v>4.7E-2</v>
      </c>
      <c r="M8" s="9">
        <v>4.7E-2</v>
      </c>
      <c r="N8" s="10">
        <v>562</v>
      </c>
    </row>
    <row r="9" spans="1:14" x14ac:dyDescent="0.35">
      <c r="A9" s="8" t="s">
        <v>20</v>
      </c>
      <c r="B9" s="9">
        <v>0.05</v>
      </c>
      <c r="C9" s="9">
        <v>4.9000000000000002E-2</v>
      </c>
      <c r="D9" s="9">
        <v>4.8000000000000001E-2</v>
      </c>
      <c r="E9" s="9">
        <v>4.7E-2</v>
      </c>
      <c r="F9" s="9">
        <v>4.7E-2</v>
      </c>
      <c r="G9" s="9">
        <v>4.7E-2</v>
      </c>
      <c r="H9" s="9">
        <v>3.6999999999999998E-2</v>
      </c>
      <c r="I9" s="9">
        <v>3.6999999999999998E-2</v>
      </c>
      <c r="J9" s="9">
        <v>3.6999999999999998E-2</v>
      </c>
      <c r="K9" s="9">
        <v>4.7E-2</v>
      </c>
      <c r="L9" s="9">
        <v>4.7E-2</v>
      </c>
      <c r="M9" s="9">
        <v>4.8000000000000001E-2</v>
      </c>
      <c r="N9" s="10">
        <v>562</v>
      </c>
    </row>
    <row r="10" spans="1:14" x14ac:dyDescent="0.35">
      <c r="A10" s="8" t="s">
        <v>21</v>
      </c>
      <c r="B10" s="9">
        <v>4.2000000000000003E-2</v>
      </c>
      <c r="C10" s="9">
        <v>4.2999999999999997E-2</v>
      </c>
      <c r="D10" s="9">
        <v>4.2000000000000003E-2</v>
      </c>
      <c r="E10" s="9">
        <v>4.7E-2</v>
      </c>
      <c r="F10" s="9">
        <v>4.7E-2</v>
      </c>
      <c r="G10" s="9">
        <v>4.7E-2</v>
      </c>
      <c r="H10" s="9">
        <v>3.6999999999999998E-2</v>
      </c>
      <c r="I10" s="9">
        <v>3.7999999999999999E-2</v>
      </c>
      <c r="J10" s="9">
        <v>3.7999999999999999E-2</v>
      </c>
      <c r="K10" s="9">
        <v>4.7E-2</v>
      </c>
      <c r="L10" s="9">
        <v>4.7E-2</v>
      </c>
      <c r="M10" s="9">
        <v>4.7E-2</v>
      </c>
      <c r="N10" s="10">
        <v>562</v>
      </c>
    </row>
    <row r="11" spans="1:14" x14ac:dyDescent="0.35">
      <c r="A11" s="8" t="s">
        <v>22</v>
      </c>
      <c r="B11" s="9">
        <v>3.7999999999999999E-2</v>
      </c>
      <c r="C11" s="9">
        <v>3.7999999999999999E-2</v>
      </c>
      <c r="D11" s="9">
        <v>3.6999999999999998E-2</v>
      </c>
      <c r="E11" s="9">
        <v>3.6999999999999998E-2</v>
      </c>
      <c r="F11" s="9">
        <v>3.6999999999999998E-2</v>
      </c>
      <c r="G11" s="9">
        <v>3.6999999999999998E-2</v>
      </c>
      <c r="H11" s="9">
        <v>3.7999999999999999E-2</v>
      </c>
      <c r="I11" s="9">
        <v>3.7999999999999999E-2</v>
      </c>
      <c r="J11" s="9">
        <v>4.4999999999999998E-2</v>
      </c>
      <c r="K11" s="9">
        <v>3.6999999999999998E-2</v>
      </c>
      <c r="L11" s="9">
        <v>3.7999999999999999E-2</v>
      </c>
      <c r="M11" s="9">
        <v>3.6999999999999998E-2</v>
      </c>
      <c r="N11" s="10">
        <v>562</v>
      </c>
    </row>
    <row r="13" spans="1:14" x14ac:dyDescent="0.35">
      <c r="A13" s="11" t="s">
        <v>23</v>
      </c>
    </row>
    <row r="14" spans="1:14" x14ac:dyDescent="0.35">
      <c r="A14" s="7"/>
      <c r="B14" s="8">
        <v>1</v>
      </c>
      <c r="C14" s="8">
        <v>2</v>
      </c>
      <c r="D14" s="8">
        <v>3</v>
      </c>
      <c r="E14" s="8">
        <v>4</v>
      </c>
      <c r="F14" s="8">
        <v>5</v>
      </c>
      <c r="G14" s="8">
        <v>6</v>
      </c>
      <c r="H14" s="8">
        <v>7</v>
      </c>
      <c r="I14" s="8">
        <v>8</v>
      </c>
      <c r="J14" s="8">
        <v>9</v>
      </c>
      <c r="K14" s="8">
        <v>10</v>
      </c>
      <c r="L14" s="8">
        <v>11</v>
      </c>
      <c r="M14" s="8">
        <v>12</v>
      </c>
    </row>
    <row r="15" spans="1:14" x14ac:dyDescent="0.35">
      <c r="A15" s="8" t="s">
        <v>15</v>
      </c>
      <c r="B15" s="9">
        <v>0.32100000000000001</v>
      </c>
      <c r="C15" s="9">
        <v>0.308</v>
      </c>
      <c r="D15" s="9">
        <v>0.314</v>
      </c>
      <c r="E15" s="9">
        <v>0.43</v>
      </c>
      <c r="F15" s="9">
        <v>0.40699999999999997</v>
      </c>
      <c r="G15" s="9">
        <v>0.39500000000000002</v>
      </c>
      <c r="H15" s="9">
        <v>0.16400000000000001</v>
      </c>
      <c r="I15" s="9">
        <v>0.19</v>
      </c>
      <c r="J15" s="9">
        <v>0.17399999999999999</v>
      </c>
      <c r="K15" s="9">
        <v>0.192</v>
      </c>
      <c r="L15" s="9">
        <v>0.29099999999999998</v>
      </c>
      <c r="M15" s="9">
        <v>0.215</v>
      </c>
      <c r="N15" s="10">
        <v>562</v>
      </c>
    </row>
    <row r="16" spans="1:14" x14ac:dyDescent="0.35">
      <c r="A16" s="8" t="s">
        <v>16</v>
      </c>
      <c r="B16" s="9">
        <v>0.22500000000000001</v>
      </c>
      <c r="C16" s="9">
        <v>0.22700000000000001</v>
      </c>
      <c r="D16" s="9">
        <v>0.191</v>
      </c>
      <c r="E16" s="9">
        <v>0.66400000000000003</v>
      </c>
      <c r="F16" s="9">
        <v>0.75600000000000001</v>
      </c>
      <c r="G16" s="9">
        <v>0.70899999999999996</v>
      </c>
      <c r="H16" s="9">
        <v>0.113</v>
      </c>
      <c r="I16" s="9">
        <v>0.17</v>
      </c>
      <c r="J16" s="9">
        <v>0.13600000000000001</v>
      </c>
      <c r="K16" s="9">
        <v>0.312</v>
      </c>
      <c r="L16" s="9">
        <v>0.33900000000000002</v>
      </c>
      <c r="M16" s="9">
        <v>0.29699999999999999</v>
      </c>
      <c r="N16" s="10">
        <v>562</v>
      </c>
    </row>
    <row r="17" spans="1:14" x14ac:dyDescent="0.35">
      <c r="A17" s="8" t="s">
        <v>17</v>
      </c>
      <c r="B17" s="9">
        <v>0.186</v>
      </c>
      <c r="C17" s="9">
        <v>0.17199999999999999</v>
      </c>
      <c r="D17" s="9">
        <v>0.17299999999999999</v>
      </c>
      <c r="E17" s="9">
        <v>0.91700000000000004</v>
      </c>
      <c r="F17" s="9">
        <v>1.177</v>
      </c>
      <c r="G17" s="9">
        <v>0.91800000000000004</v>
      </c>
      <c r="H17" s="9">
        <v>0.11899999999999999</v>
      </c>
      <c r="I17" s="9">
        <v>0.10199999999999999</v>
      </c>
      <c r="J17" s="9">
        <v>0.10299999999999999</v>
      </c>
      <c r="K17" s="9">
        <v>0.317</v>
      </c>
      <c r="L17" s="9">
        <v>0.42</v>
      </c>
      <c r="M17" s="9">
        <v>0.32500000000000001</v>
      </c>
      <c r="N17" s="10">
        <v>562</v>
      </c>
    </row>
    <row r="18" spans="1:14" x14ac:dyDescent="0.35">
      <c r="A18" s="8" t="s">
        <v>18</v>
      </c>
      <c r="B18" s="9">
        <v>0.11700000000000001</v>
      </c>
      <c r="C18" s="9">
        <v>0.12</v>
      </c>
      <c r="D18" s="9">
        <v>0.122</v>
      </c>
      <c r="E18" s="9">
        <v>4.7E-2</v>
      </c>
      <c r="F18" s="9">
        <v>4.7E-2</v>
      </c>
      <c r="G18" s="9">
        <v>4.7E-2</v>
      </c>
      <c r="H18" s="9">
        <v>8.4000000000000005E-2</v>
      </c>
      <c r="I18" s="9">
        <v>7.9000000000000001E-2</v>
      </c>
      <c r="J18" s="9">
        <v>8.7999999999999995E-2</v>
      </c>
      <c r="K18" s="9">
        <v>6.0999999999999999E-2</v>
      </c>
      <c r="L18" s="9">
        <v>6.2E-2</v>
      </c>
      <c r="M18" s="9">
        <v>5.6000000000000001E-2</v>
      </c>
      <c r="N18" s="10">
        <v>562</v>
      </c>
    </row>
    <row r="19" spans="1:14" x14ac:dyDescent="0.35">
      <c r="A19" s="8" t="s">
        <v>19</v>
      </c>
      <c r="B19" s="9">
        <v>7.8E-2</v>
      </c>
      <c r="C19" s="9">
        <v>8.2000000000000003E-2</v>
      </c>
      <c r="D19" s="9">
        <v>6.6000000000000003E-2</v>
      </c>
      <c r="E19" s="9">
        <v>4.7E-2</v>
      </c>
      <c r="F19" s="9">
        <v>5.2999999999999999E-2</v>
      </c>
      <c r="G19" s="9">
        <v>4.7E-2</v>
      </c>
      <c r="H19" s="9">
        <v>3.6999999999999998E-2</v>
      </c>
      <c r="I19" s="9">
        <v>0.52100000000000002</v>
      </c>
      <c r="J19" s="9">
        <v>0.56899999999999995</v>
      </c>
      <c r="K19" s="9">
        <v>4.7E-2</v>
      </c>
      <c r="L19" s="9">
        <v>4.7E-2</v>
      </c>
      <c r="M19" s="9">
        <v>4.7E-2</v>
      </c>
      <c r="N19" s="10">
        <v>562</v>
      </c>
    </row>
    <row r="20" spans="1:14" x14ac:dyDescent="0.35">
      <c r="A20" s="8" t="s">
        <v>20</v>
      </c>
      <c r="B20" s="9">
        <v>6.8000000000000005E-2</v>
      </c>
      <c r="C20" s="9">
        <v>6.7000000000000004E-2</v>
      </c>
      <c r="D20" s="9">
        <v>4.8000000000000001E-2</v>
      </c>
      <c r="E20" s="9">
        <v>4.7E-2</v>
      </c>
      <c r="F20" s="9">
        <v>4.5999999999999999E-2</v>
      </c>
      <c r="G20" s="9">
        <v>4.7E-2</v>
      </c>
      <c r="H20" s="9">
        <v>5.3999999999999999E-2</v>
      </c>
      <c r="I20" s="9">
        <v>5.7000000000000002E-2</v>
      </c>
      <c r="J20" s="9">
        <v>5.1999999999999998E-2</v>
      </c>
      <c r="K20" s="9">
        <v>4.7E-2</v>
      </c>
      <c r="L20" s="9">
        <v>4.7E-2</v>
      </c>
      <c r="M20" s="9">
        <v>4.8000000000000001E-2</v>
      </c>
      <c r="N20" s="10">
        <v>562</v>
      </c>
    </row>
    <row r="21" spans="1:14" x14ac:dyDescent="0.35">
      <c r="A21" s="8" t="s">
        <v>21</v>
      </c>
      <c r="B21" s="9">
        <v>4.9000000000000002E-2</v>
      </c>
      <c r="C21" s="9">
        <v>5.0999999999999997E-2</v>
      </c>
      <c r="D21" s="9">
        <v>5.0999999999999997E-2</v>
      </c>
      <c r="E21" s="9">
        <v>4.7E-2</v>
      </c>
      <c r="F21" s="9">
        <v>4.7E-2</v>
      </c>
      <c r="G21" s="9">
        <v>4.7E-2</v>
      </c>
      <c r="H21" s="9">
        <v>4.8000000000000001E-2</v>
      </c>
      <c r="I21" s="9">
        <v>4.5999999999999999E-2</v>
      </c>
      <c r="J21" s="9">
        <v>4.4999999999999998E-2</v>
      </c>
      <c r="K21" s="9">
        <v>4.7E-2</v>
      </c>
      <c r="L21" s="9">
        <v>4.8000000000000001E-2</v>
      </c>
      <c r="M21" s="9">
        <v>4.7E-2</v>
      </c>
      <c r="N21" s="10">
        <v>562</v>
      </c>
    </row>
    <row r="22" spans="1:14" x14ac:dyDescent="0.35">
      <c r="A22" s="8" t="s">
        <v>22</v>
      </c>
      <c r="B22" s="9">
        <v>3.9E-2</v>
      </c>
      <c r="C22" s="9">
        <v>0.04</v>
      </c>
      <c r="D22" s="9">
        <v>3.9E-2</v>
      </c>
      <c r="E22" s="9">
        <v>3.7999999999999999E-2</v>
      </c>
      <c r="F22" s="9">
        <v>3.7999999999999999E-2</v>
      </c>
      <c r="G22" s="9">
        <v>3.6999999999999998E-2</v>
      </c>
      <c r="H22" s="9">
        <v>0.04</v>
      </c>
      <c r="I22" s="9">
        <v>3.9E-2</v>
      </c>
      <c r="J22" s="9">
        <v>4.4999999999999998E-2</v>
      </c>
      <c r="K22" s="9">
        <v>3.7999999999999999E-2</v>
      </c>
      <c r="L22" s="9">
        <v>3.7999999999999999E-2</v>
      </c>
      <c r="M22" s="9">
        <v>3.7999999999999999E-2</v>
      </c>
      <c r="N22" s="10">
        <v>562</v>
      </c>
    </row>
    <row r="24" spans="1:14" x14ac:dyDescent="0.35">
      <c r="A24" s="12" t="s">
        <v>24</v>
      </c>
    </row>
    <row r="25" spans="1:14" x14ac:dyDescent="0.35">
      <c r="A25" s="7"/>
      <c r="B25" s="8">
        <v>1</v>
      </c>
      <c r="C25" s="8">
        <v>2</v>
      </c>
      <c r="D25" s="8">
        <v>3</v>
      </c>
      <c r="E25" s="8">
        <v>4</v>
      </c>
      <c r="F25" s="8">
        <v>5</v>
      </c>
      <c r="G25" s="8">
        <v>6</v>
      </c>
      <c r="H25" s="8">
        <v>7</v>
      </c>
      <c r="I25" s="8">
        <v>8</v>
      </c>
      <c r="J25" s="8">
        <v>9</v>
      </c>
      <c r="K25" s="8">
        <v>10</v>
      </c>
      <c r="L25" s="8">
        <v>11</v>
      </c>
      <c r="M25" s="8">
        <v>12</v>
      </c>
    </row>
    <row r="26" spans="1:14" x14ac:dyDescent="0.35">
      <c r="A26" s="8" t="s">
        <v>15</v>
      </c>
      <c r="B26" s="9">
        <v>5.5E-2</v>
      </c>
      <c r="C26" s="9">
        <v>5.3999999999999999E-2</v>
      </c>
      <c r="D26" s="9">
        <v>5.3999999999999999E-2</v>
      </c>
      <c r="E26" s="9">
        <v>4.4999999999999998E-2</v>
      </c>
      <c r="F26" s="9">
        <v>4.3999999999999997E-2</v>
      </c>
      <c r="G26" s="9">
        <v>4.3999999999999997E-2</v>
      </c>
      <c r="H26" s="9">
        <v>3.6999999999999998E-2</v>
      </c>
      <c r="I26" s="9">
        <v>3.7999999999999999E-2</v>
      </c>
      <c r="J26" s="9">
        <v>3.7999999999999999E-2</v>
      </c>
      <c r="K26" s="9">
        <v>3.6999999999999998E-2</v>
      </c>
      <c r="L26" s="9">
        <v>3.6999999999999998E-2</v>
      </c>
      <c r="M26" s="9">
        <v>3.7999999999999999E-2</v>
      </c>
      <c r="N26" s="10">
        <v>562</v>
      </c>
    </row>
    <row r="27" spans="1:14" x14ac:dyDescent="0.35">
      <c r="A27" s="8" t="s">
        <v>16</v>
      </c>
      <c r="B27" s="9">
        <v>6.6000000000000003E-2</v>
      </c>
      <c r="C27" s="9">
        <v>5.6000000000000001E-2</v>
      </c>
      <c r="D27" s="9">
        <v>6.5000000000000002E-2</v>
      </c>
      <c r="E27" s="9">
        <v>8.2000000000000003E-2</v>
      </c>
      <c r="F27" s="9">
        <v>0.109</v>
      </c>
      <c r="G27" s="9">
        <v>0.105</v>
      </c>
      <c r="H27" s="9">
        <v>6.5000000000000002E-2</v>
      </c>
      <c r="I27" s="9">
        <v>6.4000000000000001E-2</v>
      </c>
      <c r="J27" s="9">
        <v>7.4999999999999997E-2</v>
      </c>
      <c r="K27" s="9">
        <v>3.7999999999999999E-2</v>
      </c>
      <c r="L27" s="9">
        <v>3.7999999999999999E-2</v>
      </c>
      <c r="M27" s="9">
        <v>3.7999999999999999E-2</v>
      </c>
      <c r="N27" s="10">
        <v>562</v>
      </c>
    </row>
    <row r="28" spans="1:14" x14ac:dyDescent="0.35">
      <c r="A28" s="8" t="s">
        <v>17</v>
      </c>
      <c r="B28" s="9">
        <v>4.2000000000000003E-2</v>
      </c>
      <c r="C28" s="9">
        <v>4.2999999999999997E-2</v>
      </c>
      <c r="D28" s="9">
        <v>4.2000000000000003E-2</v>
      </c>
      <c r="E28" s="9">
        <v>6.7000000000000004E-2</v>
      </c>
      <c r="F28" s="9">
        <v>6.5000000000000002E-2</v>
      </c>
      <c r="G28" s="9">
        <v>6.7000000000000004E-2</v>
      </c>
      <c r="H28" s="9">
        <v>0.15</v>
      </c>
      <c r="I28" s="9">
        <v>0.17</v>
      </c>
      <c r="J28" s="9">
        <v>0.14499999999999999</v>
      </c>
      <c r="K28" s="9">
        <v>3.9E-2</v>
      </c>
      <c r="L28" s="9">
        <v>3.9E-2</v>
      </c>
      <c r="M28" s="9">
        <v>0.04</v>
      </c>
      <c r="N28" s="10">
        <v>562</v>
      </c>
    </row>
    <row r="29" spans="1:14" x14ac:dyDescent="0.35">
      <c r="A29" s="8" t="s">
        <v>18</v>
      </c>
      <c r="B29" s="9">
        <v>0.06</v>
      </c>
      <c r="C29" s="9">
        <v>6.0999999999999999E-2</v>
      </c>
      <c r="D29" s="9">
        <v>0.06</v>
      </c>
      <c r="E29" s="9">
        <v>6.6000000000000003E-2</v>
      </c>
      <c r="F29" s="9">
        <v>6.6000000000000003E-2</v>
      </c>
      <c r="G29" s="9">
        <v>6.6000000000000003E-2</v>
      </c>
      <c r="H29" s="9">
        <v>0.56200000000000006</v>
      </c>
      <c r="I29" s="9">
        <v>0.57699999999999996</v>
      </c>
      <c r="J29" s="9">
        <v>0.60099999999999998</v>
      </c>
      <c r="K29" s="9">
        <v>4.2000000000000003E-2</v>
      </c>
      <c r="L29" s="9">
        <v>4.3999999999999997E-2</v>
      </c>
      <c r="M29" s="9">
        <v>4.2000000000000003E-2</v>
      </c>
      <c r="N29" s="10">
        <v>562</v>
      </c>
    </row>
    <row r="30" spans="1:14" x14ac:dyDescent="0.35">
      <c r="A30" s="8" t="s">
        <v>19</v>
      </c>
      <c r="B30" s="9">
        <v>4.2000000000000003E-2</v>
      </c>
      <c r="C30" s="9">
        <v>4.2000000000000003E-2</v>
      </c>
      <c r="D30" s="9">
        <v>4.2999999999999997E-2</v>
      </c>
      <c r="E30" s="9">
        <v>7.2999999999999995E-2</v>
      </c>
      <c r="F30" s="9">
        <v>7.0000000000000007E-2</v>
      </c>
      <c r="G30" s="9">
        <v>7.2999999999999995E-2</v>
      </c>
      <c r="H30" s="9">
        <v>4.7E-2</v>
      </c>
      <c r="I30" s="9">
        <v>4.7E-2</v>
      </c>
      <c r="J30" s="9">
        <v>4.7E-2</v>
      </c>
      <c r="K30" s="9">
        <v>4.7E-2</v>
      </c>
      <c r="L30" s="9">
        <v>4.7E-2</v>
      </c>
      <c r="M30" s="9">
        <v>4.8000000000000001E-2</v>
      </c>
      <c r="N30" s="10">
        <v>562</v>
      </c>
    </row>
    <row r="31" spans="1:14" x14ac:dyDescent="0.35">
      <c r="A31" s="8" t="s">
        <v>20</v>
      </c>
      <c r="B31" s="9">
        <v>4.3999999999999997E-2</v>
      </c>
      <c r="C31" s="9">
        <v>4.2999999999999997E-2</v>
      </c>
      <c r="D31" s="9">
        <v>4.2999999999999997E-2</v>
      </c>
      <c r="E31" s="9">
        <v>0.80300000000000005</v>
      </c>
      <c r="F31" s="9">
        <v>0.751</v>
      </c>
      <c r="G31" s="9">
        <v>0.746</v>
      </c>
      <c r="H31" s="9">
        <v>4.7E-2</v>
      </c>
      <c r="I31" s="9">
        <v>4.7E-2</v>
      </c>
      <c r="J31" s="9">
        <v>4.7E-2</v>
      </c>
      <c r="K31" s="9">
        <v>4.7E-2</v>
      </c>
      <c r="L31" s="9">
        <v>4.7E-2</v>
      </c>
      <c r="M31" s="9">
        <v>4.7E-2</v>
      </c>
      <c r="N31" s="10">
        <v>562</v>
      </c>
    </row>
    <row r="32" spans="1:14" x14ac:dyDescent="0.35">
      <c r="A32" s="8" t="s">
        <v>21</v>
      </c>
      <c r="B32" s="9">
        <v>4.8000000000000001E-2</v>
      </c>
      <c r="C32" s="9">
        <v>4.5999999999999999E-2</v>
      </c>
      <c r="D32" s="9">
        <v>4.5999999999999999E-2</v>
      </c>
      <c r="E32" s="9">
        <v>4.8000000000000001E-2</v>
      </c>
      <c r="F32" s="9">
        <v>4.7E-2</v>
      </c>
      <c r="G32" s="9">
        <v>4.7E-2</v>
      </c>
      <c r="H32" s="9">
        <v>4.7E-2</v>
      </c>
      <c r="I32" s="9">
        <v>4.7E-2</v>
      </c>
      <c r="J32" s="9">
        <v>4.7E-2</v>
      </c>
      <c r="K32" s="9">
        <v>4.7E-2</v>
      </c>
      <c r="L32" s="9">
        <v>4.7E-2</v>
      </c>
      <c r="M32" s="9">
        <v>4.7E-2</v>
      </c>
      <c r="N32" s="10">
        <v>562</v>
      </c>
    </row>
    <row r="33" spans="1:14" x14ac:dyDescent="0.35">
      <c r="A33" s="8" t="s">
        <v>22</v>
      </c>
      <c r="B33" s="9">
        <v>3.9E-2</v>
      </c>
      <c r="C33" s="9">
        <v>3.7999999999999999E-2</v>
      </c>
      <c r="D33" s="9">
        <v>3.7999999999999999E-2</v>
      </c>
      <c r="E33" s="9">
        <v>4.8000000000000001E-2</v>
      </c>
      <c r="F33" s="9">
        <v>4.7E-2</v>
      </c>
      <c r="G33" s="9">
        <v>4.7E-2</v>
      </c>
      <c r="H33" s="9">
        <v>4.7E-2</v>
      </c>
      <c r="I33" s="9">
        <v>4.7E-2</v>
      </c>
      <c r="J33" s="9">
        <v>4.7E-2</v>
      </c>
      <c r="K33" s="9">
        <v>4.7E-2</v>
      </c>
      <c r="L33" s="9">
        <v>4.7E-2</v>
      </c>
      <c r="M33" s="9">
        <v>4.7E-2</v>
      </c>
      <c r="N33" s="10">
        <v>562</v>
      </c>
    </row>
    <row r="35" spans="1:14" s="12" customFormat="1" x14ac:dyDescent="0.35">
      <c r="A35" s="11" t="s">
        <v>25</v>
      </c>
    </row>
    <row r="36" spans="1:14" x14ac:dyDescent="0.35">
      <c r="A36" s="7"/>
      <c r="B36" s="8">
        <v>1</v>
      </c>
      <c r="C36" s="8">
        <v>2</v>
      </c>
      <c r="D36" s="8">
        <v>3</v>
      </c>
      <c r="E36" s="8">
        <v>4</v>
      </c>
      <c r="F36" s="8">
        <v>5</v>
      </c>
      <c r="G36" s="8">
        <v>6</v>
      </c>
      <c r="H36" s="8">
        <v>7</v>
      </c>
      <c r="I36" s="8">
        <v>8</v>
      </c>
      <c r="J36" s="8">
        <v>9</v>
      </c>
      <c r="K36" s="8">
        <v>10</v>
      </c>
      <c r="L36" s="8">
        <v>11</v>
      </c>
      <c r="M36" s="8">
        <v>12</v>
      </c>
    </row>
    <row r="37" spans="1:14" x14ac:dyDescent="0.35">
      <c r="A37" s="8" t="s">
        <v>15</v>
      </c>
      <c r="B37" s="9">
        <v>6.5000000000000002E-2</v>
      </c>
      <c r="C37" s="9">
        <v>6.3E-2</v>
      </c>
      <c r="D37" s="9">
        <v>6.2E-2</v>
      </c>
      <c r="E37" s="9">
        <v>4.5999999999999999E-2</v>
      </c>
      <c r="F37" s="9">
        <v>4.5999999999999999E-2</v>
      </c>
      <c r="G37" s="9">
        <v>4.5999999999999999E-2</v>
      </c>
      <c r="H37" s="9">
        <v>3.7999999999999999E-2</v>
      </c>
      <c r="I37" s="9">
        <v>4.4999999999999998E-2</v>
      </c>
      <c r="J37" s="9">
        <v>3.9E-2</v>
      </c>
      <c r="K37" s="9">
        <v>3.7999999999999999E-2</v>
      </c>
      <c r="L37" s="9">
        <v>3.7999999999999999E-2</v>
      </c>
      <c r="M37" s="9">
        <v>3.9E-2</v>
      </c>
      <c r="N37" s="10">
        <v>562</v>
      </c>
    </row>
    <row r="38" spans="1:14" x14ac:dyDescent="0.35">
      <c r="A38" s="8" t="s">
        <v>16</v>
      </c>
      <c r="B38" s="9">
        <v>7.8E-2</v>
      </c>
      <c r="C38" s="9">
        <v>7.0000000000000007E-2</v>
      </c>
      <c r="D38" s="9">
        <v>7.5999999999999998E-2</v>
      </c>
      <c r="E38" s="9">
        <v>0.108</v>
      </c>
      <c r="F38" s="9">
        <v>0.113</v>
      </c>
      <c r="G38" s="9">
        <v>0.112</v>
      </c>
      <c r="H38" s="9">
        <v>0.11700000000000001</v>
      </c>
      <c r="I38" s="9">
        <v>0.104</v>
      </c>
      <c r="J38" s="9">
        <v>0.11799999999999999</v>
      </c>
      <c r="K38" s="9">
        <v>7.3999999999999996E-2</v>
      </c>
      <c r="L38" s="9">
        <v>0.09</v>
      </c>
      <c r="M38" s="9">
        <v>0.08</v>
      </c>
      <c r="N38" s="10">
        <v>562</v>
      </c>
    </row>
    <row r="39" spans="1:14" x14ac:dyDescent="0.35">
      <c r="A39" s="8" t="s">
        <v>17</v>
      </c>
      <c r="B39" s="9">
        <v>7.0000000000000007E-2</v>
      </c>
      <c r="C39" s="9">
        <v>6.0999999999999999E-2</v>
      </c>
      <c r="D39" s="9">
        <v>6.8000000000000005E-2</v>
      </c>
      <c r="E39" s="9">
        <v>0.16900000000000001</v>
      </c>
      <c r="F39" s="9">
        <v>0.19500000000000001</v>
      </c>
      <c r="G39" s="9">
        <v>0.17299999999999999</v>
      </c>
      <c r="H39" s="9">
        <v>0.28399999999999997</v>
      </c>
      <c r="I39" s="9">
        <v>0.28799999999999998</v>
      </c>
      <c r="J39" s="9">
        <v>0.28399999999999997</v>
      </c>
      <c r="K39" s="9">
        <v>0.191</v>
      </c>
      <c r="L39" s="9">
        <v>0.17899999999999999</v>
      </c>
      <c r="M39" s="9">
        <v>0.189</v>
      </c>
      <c r="N39" s="10">
        <v>562</v>
      </c>
    </row>
    <row r="40" spans="1:14" x14ac:dyDescent="0.35">
      <c r="A40" s="8" t="s">
        <v>18</v>
      </c>
      <c r="B40" s="9">
        <v>6.4000000000000001E-2</v>
      </c>
      <c r="C40" s="9">
        <v>6.8000000000000005E-2</v>
      </c>
      <c r="D40" s="9">
        <v>6.3E-2</v>
      </c>
      <c r="E40" s="9">
        <v>0.21299999999999999</v>
      </c>
      <c r="F40" s="9">
        <v>0.21099999999999999</v>
      </c>
      <c r="G40" s="9">
        <v>0.151</v>
      </c>
      <c r="H40" s="9">
        <v>0.74199999999999999</v>
      </c>
      <c r="I40" s="9">
        <v>0.73799999999999999</v>
      </c>
      <c r="J40" s="9">
        <v>0.73199999999999998</v>
      </c>
      <c r="K40" s="9">
        <v>0.28799999999999998</v>
      </c>
      <c r="L40" s="9">
        <v>0.29499999999999998</v>
      </c>
      <c r="M40" s="9">
        <v>0.29899999999999999</v>
      </c>
      <c r="N40" s="10">
        <v>562</v>
      </c>
    </row>
    <row r="41" spans="1:14" x14ac:dyDescent="0.35">
      <c r="A41" s="8" t="s">
        <v>19</v>
      </c>
      <c r="B41" s="9">
        <v>4.4999999999999998E-2</v>
      </c>
      <c r="C41" s="9">
        <v>4.5999999999999999E-2</v>
      </c>
      <c r="D41" s="9">
        <v>4.5999999999999999E-2</v>
      </c>
      <c r="E41" s="9">
        <v>0.188</v>
      </c>
      <c r="F41" s="9">
        <v>0.22600000000000001</v>
      </c>
      <c r="G41" s="9">
        <v>0.21199999999999999</v>
      </c>
      <c r="H41" s="9">
        <v>0.05</v>
      </c>
      <c r="I41" s="9">
        <v>0.05</v>
      </c>
      <c r="J41" s="9">
        <v>4.7E-2</v>
      </c>
      <c r="K41" s="9">
        <v>4.7E-2</v>
      </c>
      <c r="L41" s="9">
        <v>4.7E-2</v>
      </c>
      <c r="M41" s="9">
        <v>4.8000000000000001E-2</v>
      </c>
      <c r="N41" s="10">
        <v>562</v>
      </c>
    </row>
    <row r="42" spans="1:14" x14ac:dyDescent="0.35">
      <c r="A42" s="8" t="s">
        <v>20</v>
      </c>
      <c r="B42" s="9">
        <v>4.7E-2</v>
      </c>
      <c r="C42" s="9">
        <v>4.5999999999999999E-2</v>
      </c>
      <c r="D42" s="9">
        <v>4.3999999999999997E-2</v>
      </c>
      <c r="E42" s="9">
        <v>1.002</v>
      </c>
      <c r="F42" s="9">
        <v>1.202</v>
      </c>
      <c r="G42" s="9">
        <v>1.0029999999999999</v>
      </c>
      <c r="H42" s="9">
        <v>4.8000000000000001E-2</v>
      </c>
      <c r="I42" s="9">
        <v>4.7E-2</v>
      </c>
      <c r="J42" s="9">
        <v>4.7E-2</v>
      </c>
      <c r="K42" s="9">
        <v>4.7E-2</v>
      </c>
      <c r="L42" s="9">
        <v>4.7E-2</v>
      </c>
      <c r="M42" s="9">
        <v>4.7E-2</v>
      </c>
      <c r="N42" s="10">
        <v>562</v>
      </c>
    </row>
    <row r="43" spans="1:14" x14ac:dyDescent="0.35">
      <c r="A43" s="8" t="s">
        <v>21</v>
      </c>
      <c r="B43" s="9">
        <v>4.9000000000000002E-2</v>
      </c>
      <c r="C43" s="9">
        <v>4.9000000000000002E-2</v>
      </c>
      <c r="D43" s="9">
        <v>4.8000000000000001E-2</v>
      </c>
      <c r="E43" s="9">
        <v>4.7E-2</v>
      </c>
      <c r="F43" s="9">
        <v>4.7E-2</v>
      </c>
      <c r="G43" s="9">
        <v>4.8000000000000001E-2</v>
      </c>
      <c r="H43" s="9">
        <v>4.7E-2</v>
      </c>
      <c r="I43" s="9">
        <v>4.7E-2</v>
      </c>
      <c r="J43" s="9">
        <v>4.7E-2</v>
      </c>
      <c r="K43" s="9">
        <v>4.7E-2</v>
      </c>
      <c r="L43" s="9">
        <v>4.7E-2</v>
      </c>
      <c r="M43" s="9">
        <v>4.7E-2</v>
      </c>
      <c r="N43" s="10">
        <v>562</v>
      </c>
    </row>
    <row r="44" spans="1:14" x14ac:dyDescent="0.35">
      <c r="A44" s="8" t="s">
        <v>22</v>
      </c>
      <c r="B44" s="9">
        <v>4.5999999999999999E-2</v>
      </c>
      <c r="C44" s="9">
        <v>4.5999999999999999E-2</v>
      </c>
      <c r="D44" s="9">
        <v>4.5999999999999999E-2</v>
      </c>
      <c r="E44" s="9">
        <v>4.8000000000000001E-2</v>
      </c>
      <c r="F44" s="9">
        <v>4.7E-2</v>
      </c>
      <c r="G44" s="9">
        <v>4.7E-2</v>
      </c>
      <c r="H44" s="9">
        <v>4.7E-2</v>
      </c>
      <c r="I44" s="9">
        <v>4.7E-2</v>
      </c>
      <c r="J44" s="9">
        <v>4.7E-2</v>
      </c>
      <c r="K44" s="9">
        <v>4.7E-2</v>
      </c>
      <c r="L44" s="9">
        <v>4.7E-2</v>
      </c>
      <c r="M44" s="9">
        <v>4.7E-2</v>
      </c>
      <c r="N44" s="10">
        <v>562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B587-D834-475D-B92E-8D004B98FCB6}">
  <dimension ref="A1:M49"/>
  <sheetViews>
    <sheetView topLeftCell="B1" workbookViewId="0">
      <selection activeCell="F3" sqref="F3"/>
    </sheetView>
  </sheetViews>
  <sheetFormatPr defaultRowHeight="14.5" x14ac:dyDescent="0.35"/>
  <cols>
    <col min="1" max="1" width="12.26953125" customWidth="1"/>
    <col min="2" max="2" width="12.54296875" customWidth="1"/>
    <col min="3" max="3" width="11.26953125" customWidth="1"/>
    <col min="4" max="4" width="12.1796875" customWidth="1"/>
    <col min="5" max="5" width="15.81640625" customWidth="1"/>
    <col min="6" max="6" width="14" customWidth="1"/>
    <col min="7" max="7" width="14.453125" customWidth="1"/>
    <col min="8" max="8" width="13.54296875" customWidth="1"/>
    <col min="9" max="9" width="11.54296875" customWidth="1"/>
    <col min="10" max="10" width="12.81640625" customWidth="1"/>
    <col min="11" max="11" width="13.26953125" customWidth="1"/>
    <col min="12" max="12" width="14.54296875" customWidth="1"/>
    <col min="13" max="13" width="12.7265625" customWidth="1"/>
  </cols>
  <sheetData>
    <row r="1" spans="1:13" x14ac:dyDescent="0.35">
      <c r="A1" s="7" t="s">
        <v>4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x14ac:dyDescent="0.35">
      <c r="A2" s="8" t="s">
        <v>15</v>
      </c>
      <c r="B2" s="9">
        <v>0.14799999999999999</v>
      </c>
      <c r="C2" s="9">
        <v>0.13700000000000001</v>
      </c>
      <c r="D2" s="9">
        <v>0.185</v>
      </c>
      <c r="E2" s="9">
        <v>0.24099999999999999</v>
      </c>
      <c r="F2" s="9">
        <v>0.23</v>
      </c>
      <c r="G2" s="9">
        <v>0.23599999999999999</v>
      </c>
      <c r="H2" s="9">
        <v>3.9E-2</v>
      </c>
      <c r="I2" s="9">
        <v>4.1000000000000002E-2</v>
      </c>
      <c r="J2" s="9">
        <v>0.04</v>
      </c>
      <c r="K2" s="9">
        <v>0.04</v>
      </c>
      <c r="L2" s="9">
        <v>4.1000000000000002E-2</v>
      </c>
      <c r="M2" s="9">
        <v>4.2000000000000003E-2</v>
      </c>
    </row>
    <row r="3" spans="1:13" x14ac:dyDescent="0.35">
      <c r="A3" s="8" t="s">
        <v>16</v>
      </c>
      <c r="B3" s="9">
        <v>0.121</v>
      </c>
      <c r="C3" s="9">
        <v>0.11799999999999999</v>
      </c>
      <c r="D3" s="9">
        <v>0.122</v>
      </c>
      <c r="E3" s="9">
        <v>0.45</v>
      </c>
      <c r="F3" s="9" t="s">
        <v>52</v>
      </c>
      <c r="G3" s="9">
        <v>0.45400000000000001</v>
      </c>
      <c r="H3" s="9">
        <v>0.04</v>
      </c>
      <c r="I3" s="9">
        <v>3.9E-2</v>
      </c>
      <c r="J3" s="9">
        <v>3.7999999999999999E-2</v>
      </c>
      <c r="K3" s="9">
        <v>4.2000000000000003E-2</v>
      </c>
      <c r="L3" s="9">
        <v>4.2999999999999997E-2</v>
      </c>
      <c r="M3" s="9">
        <v>4.1000000000000002E-2</v>
      </c>
    </row>
    <row r="4" spans="1:13" x14ac:dyDescent="0.35">
      <c r="A4" s="8" t="s">
        <v>17</v>
      </c>
      <c r="B4" s="9">
        <v>9.9000000000000005E-2</v>
      </c>
      <c r="C4" s="9">
        <v>8.7999999999999995E-2</v>
      </c>
      <c r="D4" s="9">
        <v>8.8999999999999996E-2</v>
      </c>
      <c r="E4" s="9">
        <v>0.71299999999999997</v>
      </c>
      <c r="F4" s="9">
        <v>0.77500000000000002</v>
      </c>
      <c r="G4" s="9">
        <v>0.77400000000000002</v>
      </c>
      <c r="H4" s="9">
        <v>3.7999999999999999E-2</v>
      </c>
      <c r="I4" s="9">
        <v>3.9E-2</v>
      </c>
      <c r="J4" s="9">
        <v>3.9E-2</v>
      </c>
      <c r="K4" s="9">
        <v>4.2000000000000003E-2</v>
      </c>
      <c r="L4" s="9">
        <v>4.1000000000000002E-2</v>
      </c>
      <c r="M4" s="9">
        <v>4.2999999999999997E-2</v>
      </c>
    </row>
    <row r="5" spans="1:13" x14ac:dyDescent="0.35">
      <c r="A5" s="8" t="s">
        <v>18</v>
      </c>
      <c r="B5" s="9">
        <v>6.5000000000000002E-2</v>
      </c>
      <c r="C5" s="9">
        <v>7.3999999999999996E-2</v>
      </c>
      <c r="D5" s="9">
        <v>7.8E-2</v>
      </c>
      <c r="E5" s="9">
        <v>4.7E-2</v>
      </c>
      <c r="F5" s="9">
        <v>4.7E-2</v>
      </c>
      <c r="G5" s="9">
        <v>4.7E-2</v>
      </c>
      <c r="H5" s="9">
        <v>3.7999999999999999E-2</v>
      </c>
      <c r="I5" s="9">
        <v>3.7999999999999999E-2</v>
      </c>
      <c r="J5" s="9">
        <v>3.7999999999999999E-2</v>
      </c>
      <c r="K5" s="9">
        <v>3.7999999999999999E-2</v>
      </c>
      <c r="L5" s="9">
        <v>3.7999999999999999E-2</v>
      </c>
      <c r="M5" s="9">
        <v>3.7999999999999999E-2</v>
      </c>
    </row>
    <row r="6" spans="1:13" x14ac:dyDescent="0.35">
      <c r="A6" s="8" t="s">
        <v>19</v>
      </c>
      <c r="B6" s="9">
        <v>5.1999999999999998E-2</v>
      </c>
      <c r="C6" s="9">
        <v>5.0999999999999997E-2</v>
      </c>
      <c r="D6" s="9">
        <v>0.05</v>
      </c>
      <c r="E6" s="9">
        <v>4.7E-2</v>
      </c>
      <c r="F6" s="9">
        <v>4.7E-2</v>
      </c>
      <c r="G6" s="9">
        <v>4.7E-2</v>
      </c>
      <c r="H6" s="9">
        <v>3.6999999999999998E-2</v>
      </c>
      <c r="I6" s="9">
        <v>4.7E-2</v>
      </c>
      <c r="J6" s="9">
        <v>4.7E-2</v>
      </c>
      <c r="K6" s="9">
        <v>4.7E-2</v>
      </c>
      <c r="L6" s="9">
        <v>4.7E-2</v>
      </c>
      <c r="M6" s="9">
        <v>4.7E-2</v>
      </c>
    </row>
    <row r="7" spans="1:13" x14ac:dyDescent="0.35">
      <c r="A7" s="8" t="s">
        <v>20</v>
      </c>
      <c r="B7" s="9">
        <v>0.05</v>
      </c>
      <c r="C7" s="9">
        <v>4.9000000000000002E-2</v>
      </c>
      <c r="D7" s="9">
        <v>4.8000000000000001E-2</v>
      </c>
      <c r="E7" s="9">
        <v>4.7E-2</v>
      </c>
      <c r="F7" s="9">
        <v>4.7E-2</v>
      </c>
      <c r="G7" s="9">
        <v>4.7E-2</v>
      </c>
      <c r="H7" s="9">
        <v>3.6999999999999998E-2</v>
      </c>
      <c r="I7" s="9">
        <v>3.6999999999999998E-2</v>
      </c>
      <c r="J7" s="9">
        <v>3.6999999999999998E-2</v>
      </c>
      <c r="K7" s="9">
        <v>4.7E-2</v>
      </c>
      <c r="L7" s="9">
        <v>4.7E-2</v>
      </c>
      <c r="M7" s="9">
        <v>4.8000000000000001E-2</v>
      </c>
    </row>
    <row r="8" spans="1:13" x14ac:dyDescent="0.35">
      <c r="A8" s="8" t="s">
        <v>21</v>
      </c>
      <c r="B8" s="9">
        <v>4.2000000000000003E-2</v>
      </c>
      <c r="C8" s="9">
        <v>4.2999999999999997E-2</v>
      </c>
      <c r="D8" s="9">
        <v>4.2000000000000003E-2</v>
      </c>
      <c r="E8" s="9">
        <v>4.7E-2</v>
      </c>
      <c r="F8" s="9">
        <v>4.7E-2</v>
      </c>
      <c r="G8" s="9">
        <v>4.7E-2</v>
      </c>
      <c r="H8" s="9">
        <v>3.6999999999999998E-2</v>
      </c>
      <c r="I8" s="9">
        <v>3.7999999999999999E-2</v>
      </c>
      <c r="J8" s="9">
        <v>3.7999999999999999E-2</v>
      </c>
      <c r="K8" s="9">
        <v>4.7E-2</v>
      </c>
      <c r="L8" s="9">
        <v>4.7E-2</v>
      </c>
      <c r="M8" s="9">
        <v>4.7E-2</v>
      </c>
    </row>
    <row r="9" spans="1:13" x14ac:dyDescent="0.35">
      <c r="A9" s="8" t="s">
        <v>22</v>
      </c>
      <c r="B9" s="9">
        <v>3.7999999999999999E-2</v>
      </c>
      <c r="C9" s="9">
        <v>3.7999999999999999E-2</v>
      </c>
      <c r="D9" s="9">
        <v>3.6999999999999998E-2</v>
      </c>
      <c r="E9" s="9">
        <v>3.6999999999999998E-2</v>
      </c>
      <c r="F9" s="9">
        <v>3.6999999999999998E-2</v>
      </c>
      <c r="G9" s="9">
        <v>3.6999999999999998E-2</v>
      </c>
      <c r="H9" s="9">
        <v>3.7999999999999999E-2</v>
      </c>
      <c r="I9" s="9">
        <v>3.7999999999999999E-2</v>
      </c>
      <c r="J9" s="9">
        <v>4.4999999999999998E-2</v>
      </c>
      <c r="K9" s="9">
        <v>3.6999999999999998E-2</v>
      </c>
      <c r="L9" s="9">
        <v>3.7999999999999999E-2</v>
      </c>
      <c r="M9" s="9">
        <v>3.6999999999999998E-2</v>
      </c>
    </row>
    <row r="11" spans="1:13" x14ac:dyDescent="0.35">
      <c r="A11" s="7" t="s">
        <v>5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3" x14ac:dyDescent="0.35">
      <c r="A12" s="8" t="s">
        <v>15</v>
      </c>
      <c r="B12" s="9">
        <v>0.32100000000000001</v>
      </c>
      <c r="C12" s="9">
        <v>0.308</v>
      </c>
      <c r="D12" s="9">
        <v>0.314</v>
      </c>
      <c r="E12" s="9">
        <v>0.43</v>
      </c>
      <c r="F12" s="9">
        <v>0.40699999999999997</v>
      </c>
      <c r="G12" s="9">
        <v>0.39500000000000002</v>
      </c>
      <c r="H12" s="9">
        <v>0.16400000000000001</v>
      </c>
      <c r="I12" s="9">
        <v>0.19</v>
      </c>
      <c r="J12" s="9">
        <v>0.17399999999999999</v>
      </c>
      <c r="K12" s="9">
        <v>0.192</v>
      </c>
      <c r="L12" s="9">
        <v>0.29099999999999998</v>
      </c>
      <c r="M12" s="9">
        <v>0.215</v>
      </c>
    </row>
    <row r="13" spans="1:13" x14ac:dyDescent="0.35">
      <c r="A13" s="8" t="s">
        <v>16</v>
      </c>
      <c r="B13" s="9">
        <v>0.22500000000000001</v>
      </c>
      <c r="C13" s="9">
        <v>0.22700000000000001</v>
      </c>
      <c r="D13" s="9">
        <v>0.191</v>
      </c>
      <c r="E13" s="9">
        <v>0.66400000000000003</v>
      </c>
      <c r="F13" s="9">
        <v>0.75600000000000001</v>
      </c>
      <c r="G13" s="9">
        <v>0.70899999999999996</v>
      </c>
      <c r="H13" s="9">
        <v>0.113</v>
      </c>
      <c r="I13" s="9">
        <v>0.17</v>
      </c>
      <c r="J13" s="9">
        <v>0.13600000000000001</v>
      </c>
      <c r="K13" s="9">
        <v>0.312</v>
      </c>
      <c r="L13" s="9">
        <v>0.33900000000000002</v>
      </c>
      <c r="M13" s="9">
        <v>0.29699999999999999</v>
      </c>
    </row>
    <row r="14" spans="1:13" x14ac:dyDescent="0.35">
      <c r="A14" s="8" t="s">
        <v>17</v>
      </c>
      <c r="B14" s="9">
        <v>0.186</v>
      </c>
      <c r="C14" s="9">
        <v>0.17199999999999999</v>
      </c>
      <c r="D14" s="9">
        <v>0.17299999999999999</v>
      </c>
      <c r="E14" s="9">
        <v>0.91700000000000004</v>
      </c>
      <c r="F14" s="9">
        <v>1.177</v>
      </c>
      <c r="G14" s="9">
        <v>0.91800000000000004</v>
      </c>
      <c r="H14" s="9">
        <v>0.11899999999999999</v>
      </c>
      <c r="I14" s="9">
        <v>0.10199999999999999</v>
      </c>
      <c r="J14" s="9">
        <v>0.10299999999999999</v>
      </c>
      <c r="K14" s="9">
        <v>0.317</v>
      </c>
      <c r="L14" s="9">
        <v>0.42</v>
      </c>
      <c r="M14" s="9">
        <v>0.32500000000000001</v>
      </c>
    </row>
    <row r="15" spans="1:13" x14ac:dyDescent="0.35">
      <c r="A15" s="8" t="s">
        <v>18</v>
      </c>
      <c r="B15" s="9">
        <v>0.11700000000000001</v>
      </c>
      <c r="C15" s="9">
        <v>0.12</v>
      </c>
      <c r="D15" s="9">
        <v>0.122</v>
      </c>
      <c r="E15" s="9">
        <v>4.7E-2</v>
      </c>
      <c r="F15" s="9">
        <v>4.7E-2</v>
      </c>
      <c r="G15" s="9">
        <v>4.7E-2</v>
      </c>
      <c r="H15" s="9">
        <v>8.4000000000000005E-2</v>
      </c>
      <c r="I15" s="9">
        <v>7.9000000000000001E-2</v>
      </c>
      <c r="J15" s="9">
        <v>8.7999999999999995E-2</v>
      </c>
      <c r="K15" s="9">
        <v>6.0999999999999999E-2</v>
      </c>
      <c r="L15" s="9">
        <v>6.2E-2</v>
      </c>
      <c r="M15" s="9">
        <v>5.6000000000000001E-2</v>
      </c>
    </row>
    <row r="16" spans="1:13" x14ac:dyDescent="0.35">
      <c r="A16" s="8" t="s">
        <v>19</v>
      </c>
      <c r="B16" s="9">
        <v>7.8E-2</v>
      </c>
      <c r="C16" s="9">
        <v>8.2000000000000003E-2</v>
      </c>
      <c r="D16" s="9">
        <v>6.6000000000000003E-2</v>
      </c>
      <c r="E16" s="9">
        <v>4.7E-2</v>
      </c>
      <c r="F16" s="9">
        <v>5.2999999999999999E-2</v>
      </c>
      <c r="G16" s="9">
        <v>4.7E-2</v>
      </c>
      <c r="H16" s="9">
        <v>3.6999999999999998E-2</v>
      </c>
      <c r="I16" s="9">
        <v>0.52100000000000002</v>
      </c>
      <c r="J16" s="9">
        <v>0.56899999999999995</v>
      </c>
      <c r="K16" s="9">
        <v>4.7E-2</v>
      </c>
      <c r="L16" s="9">
        <v>4.7E-2</v>
      </c>
      <c r="M16" s="9">
        <v>4.7E-2</v>
      </c>
    </row>
    <row r="17" spans="1:13" x14ac:dyDescent="0.35">
      <c r="A17" s="8" t="s">
        <v>20</v>
      </c>
      <c r="B17" s="9">
        <v>6.8000000000000005E-2</v>
      </c>
      <c r="C17" s="9">
        <v>6.7000000000000004E-2</v>
      </c>
      <c r="D17" s="9">
        <v>4.8000000000000001E-2</v>
      </c>
      <c r="E17" s="9">
        <v>4.7E-2</v>
      </c>
      <c r="F17" s="9">
        <v>4.5999999999999999E-2</v>
      </c>
      <c r="G17" s="9">
        <v>4.7E-2</v>
      </c>
      <c r="H17" s="9">
        <v>5.3999999999999999E-2</v>
      </c>
      <c r="I17" s="9">
        <v>5.7000000000000002E-2</v>
      </c>
      <c r="J17" s="9">
        <v>5.1999999999999998E-2</v>
      </c>
      <c r="K17" s="9">
        <v>4.7E-2</v>
      </c>
      <c r="L17" s="9">
        <v>4.7E-2</v>
      </c>
      <c r="M17" s="9">
        <v>4.8000000000000001E-2</v>
      </c>
    </row>
    <row r="18" spans="1:13" x14ac:dyDescent="0.35">
      <c r="A18" s="8" t="s">
        <v>21</v>
      </c>
      <c r="B18" s="9">
        <v>4.9000000000000002E-2</v>
      </c>
      <c r="C18" s="9">
        <v>5.0999999999999997E-2</v>
      </c>
      <c r="D18" s="9">
        <v>5.0999999999999997E-2</v>
      </c>
      <c r="E18" s="9">
        <v>4.7E-2</v>
      </c>
      <c r="F18" s="9">
        <v>4.7E-2</v>
      </c>
      <c r="G18" s="9">
        <v>4.7E-2</v>
      </c>
      <c r="H18" s="9">
        <v>4.8000000000000001E-2</v>
      </c>
      <c r="I18" s="9">
        <v>4.5999999999999999E-2</v>
      </c>
      <c r="J18" s="9">
        <v>4.4999999999999998E-2</v>
      </c>
      <c r="K18" s="9">
        <v>4.7E-2</v>
      </c>
      <c r="L18" s="9">
        <v>4.8000000000000001E-2</v>
      </c>
      <c r="M18" s="9">
        <v>4.7E-2</v>
      </c>
    </row>
    <row r="19" spans="1:13" x14ac:dyDescent="0.35">
      <c r="A19" s="8" t="s">
        <v>22</v>
      </c>
      <c r="B19" s="9">
        <v>3.9E-2</v>
      </c>
      <c r="C19" s="9">
        <v>0.04</v>
      </c>
      <c r="D19" s="9">
        <v>3.9E-2</v>
      </c>
      <c r="E19" s="9">
        <v>3.7999999999999999E-2</v>
      </c>
      <c r="F19" s="9">
        <v>3.7999999999999999E-2</v>
      </c>
      <c r="G19" s="9">
        <v>3.6999999999999998E-2</v>
      </c>
      <c r="H19" s="9">
        <v>0.04</v>
      </c>
      <c r="I19" s="9">
        <v>3.9E-2</v>
      </c>
      <c r="J19" s="9">
        <v>4.4999999999999998E-2</v>
      </c>
      <c r="K19" s="9">
        <v>3.7999999999999999E-2</v>
      </c>
      <c r="L19" s="9">
        <v>3.7999999999999999E-2</v>
      </c>
      <c r="M19" s="9">
        <v>3.7999999999999999E-2</v>
      </c>
    </row>
    <row r="21" spans="1:13" x14ac:dyDescent="0.35">
      <c r="A21" s="13" t="s">
        <v>26</v>
      </c>
      <c r="B21" s="14">
        <v>1</v>
      </c>
      <c r="C21" s="14">
        <v>2</v>
      </c>
      <c r="D21" s="14">
        <v>3</v>
      </c>
      <c r="E21" s="14">
        <v>4</v>
      </c>
      <c r="F21" s="14">
        <v>5</v>
      </c>
      <c r="G21" s="14">
        <v>6</v>
      </c>
      <c r="H21" s="14">
        <v>7</v>
      </c>
      <c r="I21" s="14">
        <v>8</v>
      </c>
      <c r="J21" s="14">
        <v>9</v>
      </c>
      <c r="K21" s="14">
        <v>10</v>
      </c>
      <c r="L21" s="14">
        <v>11</v>
      </c>
      <c r="M21" s="14">
        <v>12</v>
      </c>
    </row>
    <row r="22" spans="1:13" x14ac:dyDescent="0.35">
      <c r="A22" s="14" t="s">
        <v>15</v>
      </c>
      <c r="B22" s="15" t="s">
        <v>27</v>
      </c>
      <c r="C22" s="15" t="s">
        <v>27</v>
      </c>
      <c r="D22" s="15" t="s">
        <v>27</v>
      </c>
      <c r="E22" s="16" t="s">
        <v>28</v>
      </c>
      <c r="F22" s="16" t="s">
        <v>28</v>
      </c>
      <c r="G22" s="16" t="s">
        <v>28</v>
      </c>
      <c r="H22" s="16" t="s">
        <v>29</v>
      </c>
      <c r="I22" s="16" t="s">
        <v>29</v>
      </c>
      <c r="J22" s="16" t="s">
        <v>29</v>
      </c>
      <c r="K22" s="16" t="s">
        <v>30</v>
      </c>
      <c r="L22" s="16" t="s">
        <v>30</v>
      </c>
      <c r="M22" s="16" t="s">
        <v>30</v>
      </c>
    </row>
    <row r="23" spans="1:13" x14ac:dyDescent="0.35">
      <c r="A23" s="14" t="s">
        <v>16</v>
      </c>
      <c r="B23" s="17" t="s">
        <v>31</v>
      </c>
      <c r="C23" s="18" t="s">
        <v>31</v>
      </c>
      <c r="D23" s="18" t="s">
        <v>31</v>
      </c>
      <c r="E23" s="16" t="s">
        <v>32</v>
      </c>
      <c r="F23" s="16" t="s">
        <v>32</v>
      </c>
      <c r="G23" s="16" t="s">
        <v>32</v>
      </c>
      <c r="H23" s="19" t="s">
        <v>33</v>
      </c>
      <c r="I23" s="20" t="s">
        <v>33</v>
      </c>
      <c r="J23" t="s">
        <v>33</v>
      </c>
      <c r="K23" s="16" t="s">
        <v>34</v>
      </c>
      <c r="L23" s="16" t="s">
        <v>34</v>
      </c>
      <c r="M23" s="16" t="s">
        <v>34</v>
      </c>
    </row>
    <row r="24" spans="1:13" x14ac:dyDescent="0.35">
      <c r="A24" s="14" t="s">
        <v>17</v>
      </c>
      <c r="B24" s="15" t="s">
        <v>35</v>
      </c>
      <c r="C24" s="15" t="s">
        <v>35</v>
      </c>
      <c r="D24" s="15" t="s">
        <v>35</v>
      </c>
      <c r="E24" s="16" t="s">
        <v>36</v>
      </c>
      <c r="F24" s="16" t="s">
        <v>36</v>
      </c>
      <c r="G24" s="16" t="s">
        <v>36</v>
      </c>
      <c r="H24" s="16" t="s">
        <v>37</v>
      </c>
      <c r="I24" s="16" t="s">
        <v>37</v>
      </c>
      <c r="J24" s="16" t="s">
        <v>37</v>
      </c>
      <c r="K24" s="16" t="s">
        <v>38</v>
      </c>
      <c r="L24" s="16" t="s">
        <v>38</v>
      </c>
      <c r="M24" s="16" t="s">
        <v>38</v>
      </c>
    </row>
    <row r="25" spans="1:13" x14ac:dyDescent="0.35">
      <c r="A25" s="14" t="s">
        <v>18</v>
      </c>
      <c r="B25" s="15" t="s">
        <v>39</v>
      </c>
      <c r="C25" s="15" t="s">
        <v>39</v>
      </c>
      <c r="D25" s="15" t="s">
        <v>39</v>
      </c>
      <c r="E25" s="16"/>
      <c r="F25" s="16"/>
      <c r="G25" s="16"/>
      <c r="H25" s="23" t="s">
        <v>40</v>
      </c>
      <c r="I25" s="23" t="s">
        <v>40</v>
      </c>
      <c r="J25" s="23" t="s">
        <v>40</v>
      </c>
      <c r="K25" s="23" t="s">
        <v>42</v>
      </c>
      <c r="L25" s="23" t="s">
        <v>42</v>
      </c>
      <c r="M25" s="23" t="s">
        <v>42</v>
      </c>
    </row>
    <row r="26" spans="1:13" x14ac:dyDescent="0.35">
      <c r="A26" s="14" t="s">
        <v>19</v>
      </c>
      <c r="B26" s="15" t="s">
        <v>41</v>
      </c>
      <c r="C26" s="15" t="s">
        <v>41</v>
      </c>
      <c r="D26" s="15" t="s">
        <v>41</v>
      </c>
      <c r="E26" s="16"/>
      <c r="F26" s="16"/>
      <c r="G26" s="22"/>
      <c r="H26" s="25" t="s">
        <v>52</v>
      </c>
      <c r="I26" s="25" t="s">
        <v>52</v>
      </c>
      <c r="J26" s="25" t="s">
        <v>52</v>
      </c>
      <c r="K26" s="26"/>
      <c r="L26" s="26"/>
      <c r="M26" s="26"/>
    </row>
    <row r="27" spans="1:13" x14ac:dyDescent="0.35">
      <c r="A27" s="14" t="s">
        <v>20</v>
      </c>
      <c r="B27" s="15" t="s">
        <v>43</v>
      </c>
      <c r="C27" s="15" t="s">
        <v>43</v>
      </c>
      <c r="D27" s="15" t="s">
        <v>43</v>
      </c>
      <c r="E27" s="16"/>
      <c r="F27" s="16"/>
      <c r="G27" s="16"/>
      <c r="H27" s="24" t="s">
        <v>44</v>
      </c>
      <c r="I27" s="24" t="s">
        <v>44</v>
      </c>
      <c r="J27" s="24" t="s">
        <v>44</v>
      </c>
      <c r="K27" s="24"/>
      <c r="L27" s="24"/>
      <c r="M27" s="24"/>
    </row>
    <row r="28" spans="1:13" x14ac:dyDescent="0.35">
      <c r="A28" s="14" t="s">
        <v>21</v>
      </c>
      <c r="B28" s="15" t="s">
        <v>45</v>
      </c>
      <c r="C28" s="15" t="s">
        <v>45</v>
      </c>
      <c r="D28" s="15" t="s">
        <v>45</v>
      </c>
      <c r="E28" s="16"/>
      <c r="F28" s="16"/>
      <c r="G28" s="16"/>
      <c r="H28" s="16" t="s">
        <v>46</v>
      </c>
      <c r="I28" s="16" t="s">
        <v>46</v>
      </c>
      <c r="J28" s="16" t="s">
        <v>46</v>
      </c>
      <c r="K28" s="16"/>
      <c r="L28" s="16"/>
      <c r="M28" s="16"/>
    </row>
    <row r="29" spans="1:13" x14ac:dyDescent="0.35">
      <c r="A29" s="14" t="s">
        <v>22</v>
      </c>
      <c r="B29" s="15" t="s">
        <v>47</v>
      </c>
      <c r="C29" s="15" t="s">
        <v>47</v>
      </c>
      <c r="D29" s="15" t="s">
        <v>47</v>
      </c>
      <c r="E29" s="16" t="s">
        <v>48</v>
      </c>
      <c r="F29" s="16" t="s">
        <v>48</v>
      </c>
      <c r="G29" s="16" t="s">
        <v>48</v>
      </c>
      <c r="H29" s="16" t="s">
        <v>49</v>
      </c>
      <c r="I29" s="16" t="s">
        <v>49</v>
      </c>
      <c r="J29" s="16" t="s">
        <v>49</v>
      </c>
      <c r="K29" s="16" t="s">
        <v>48</v>
      </c>
      <c r="L29" s="16" t="s">
        <v>48</v>
      </c>
      <c r="M29" s="16" t="s">
        <v>48</v>
      </c>
    </row>
    <row r="31" spans="1:13" x14ac:dyDescent="0.35">
      <c r="A31" s="13" t="s">
        <v>50</v>
      </c>
      <c r="B31" s="14">
        <v>1</v>
      </c>
      <c r="C31" s="14">
        <v>2</v>
      </c>
      <c r="D31" s="14">
        <v>3</v>
      </c>
      <c r="E31" s="14">
        <v>4</v>
      </c>
      <c r="F31" s="14">
        <v>5</v>
      </c>
      <c r="G31" s="14">
        <v>6</v>
      </c>
      <c r="H31" s="14">
        <v>7</v>
      </c>
      <c r="I31" s="14">
        <v>8</v>
      </c>
      <c r="J31" s="14">
        <v>9</v>
      </c>
      <c r="K31" s="14">
        <v>10</v>
      </c>
      <c r="L31" s="14">
        <v>11</v>
      </c>
      <c r="M31" s="14">
        <v>12</v>
      </c>
    </row>
    <row r="32" spans="1:13" x14ac:dyDescent="0.35">
      <c r="A32" s="14" t="s">
        <v>15</v>
      </c>
      <c r="B32" s="16">
        <v>1</v>
      </c>
      <c r="C32" s="16">
        <v>1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</row>
    <row r="33" spans="1:13" x14ac:dyDescent="0.35">
      <c r="A33" s="14" t="s">
        <v>16</v>
      </c>
      <c r="B33" s="16">
        <v>1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</row>
    <row r="34" spans="1:13" x14ac:dyDescent="0.35">
      <c r="A34" s="14" t="s">
        <v>17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</row>
    <row r="35" spans="1:13" x14ac:dyDescent="0.35">
      <c r="A35" s="14" t="s">
        <v>18</v>
      </c>
      <c r="B35" s="16">
        <v>1</v>
      </c>
      <c r="C35" s="16">
        <v>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</row>
    <row r="36" spans="1:13" x14ac:dyDescent="0.35">
      <c r="A36" s="14" t="s">
        <v>19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</row>
    <row r="37" spans="1:13" x14ac:dyDescent="0.35">
      <c r="A37" s="14" t="s">
        <v>20</v>
      </c>
      <c r="B37" s="16">
        <v>1</v>
      </c>
      <c r="C37" s="16">
        <v>1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</row>
    <row r="38" spans="1:13" x14ac:dyDescent="0.35">
      <c r="A38" s="14" t="s">
        <v>21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</row>
    <row r="39" spans="1:13" x14ac:dyDescent="0.35">
      <c r="A39" s="14" t="s">
        <v>22</v>
      </c>
      <c r="B39" s="16">
        <v>1</v>
      </c>
      <c r="C39" s="16">
        <v>1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</row>
    <row r="41" spans="1:13" x14ac:dyDescent="0.35">
      <c r="A41" s="13" t="s">
        <v>51</v>
      </c>
      <c r="B41" s="14">
        <v>1</v>
      </c>
      <c r="C41" s="14">
        <v>2</v>
      </c>
      <c r="D41" s="14">
        <v>3</v>
      </c>
      <c r="E41" s="14">
        <v>4</v>
      </c>
      <c r="F41" s="14">
        <v>5</v>
      </c>
      <c r="G41" s="14">
        <v>6</v>
      </c>
      <c r="H41" s="14">
        <v>7</v>
      </c>
      <c r="I41" s="14">
        <v>8</v>
      </c>
      <c r="J41" s="14">
        <v>9</v>
      </c>
      <c r="K41" s="14">
        <v>10</v>
      </c>
      <c r="L41" s="14">
        <v>11</v>
      </c>
      <c r="M41" s="14">
        <v>12</v>
      </c>
    </row>
    <row r="42" spans="1:13" x14ac:dyDescent="0.35">
      <c r="A42" s="14" t="s">
        <v>15</v>
      </c>
      <c r="B42" s="15">
        <v>60</v>
      </c>
      <c r="C42" s="15">
        <v>60</v>
      </c>
      <c r="D42" s="15">
        <v>60</v>
      </c>
      <c r="E42" s="16">
        <v>100</v>
      </c>
      <c r="F42" s="16">
        <v>100</v>
      </c>
      <c r="G42" s="16">
        <v>100</v>
      </c>
      <c r="H42" s="28">
        <v>60</v>
      </c>
      <c r="I42" s="28">
        <v>60</v>
      </c>
      <c r="J42" s="28">
        <v>60</v>
      </c>
      <c r="K42" s="16">
        <v>100</v>
      </c>
      <c r="L42" s="16">
        <v>100</v>
      </c>
      <c r="M42" s="16">
        <v>100</v>
      </c>
    </row>
    <row r="43" spans="1:13" x14ac:dyDescent="0.35">
      <c r="A43" s="14" t="s">
        <v>16</v>
      </c>
      <c r="B43" s="18">
        <v>45</v>
      </c>
      <c r="C43" s="18">
        <v>45</v>
      </c>
      <c r="D43" s="18">
        <v>45</v>
      </c>
      <c r="E43" s="16">
        <v>250</v>
      </c>
      <c r="F43" s="16">
        <v>250</v>
      </c>
      <c r="G43" s="22">
        <v>250</v>
      </c>
      <c r="H43" s="30">
        <v>45</v>
      </c>
      <c r="I43" s="30">
        <v>45</v>
      </c>
      <c r="J43" s="30">
        <v>45</v>
      </c>
      <c r="K43" s="27">
        <v>250</v>
      </c>
      <c r="L43" s="16">
        <v>250</v>
      </c>
      <c r="M43" s="16">
        <v>250</v>
      </c>
    </row>
    <row r="44" spans="1:13" x14ac:dyDescent="0.35">
      <c r="A44" s="14" t="s">
        <v>17</v>
      </c>
      <c r="B44" s="15">
        <v>30</v>
      </c>
      <c r="C44" s="15">
        <v>30</v>
      </c>
      <c r="D44" s="15">
        <v>30</v>
      </c>
      <c r="E44" s="16">
        <v>500</v>
      </c>
      <c r="F44" s="16">
        <v>500</v>
      </c>
      <c r="G44" s="16">
        <v>500</v>
      </c>
      <c r="H44" s="29">
        <v>30</v>
      </c>
      <c r="I44" s="29">
        <v>30</v>
      </c>
      <c r="J44" s="29">
        <v>30</v>
      </c>
      <c r="K44" s="16">
        <v>500</v>
      </c>
      <c r="L44" s="16">
        <v>500</v>
      </c>
      <c r="M44" s="16">
        <v>500</v>
      </c>
    </row>
    <row r="45" spans="1:13" x14ac:dyDescent="0.35">
      <c r="A45" s="14" t="s">
        <v>18</v>
      </c>
      <c r="B45" s="15">
        <v>18</v>
      </c>
      <c r="C45" s="15">
        <v>18</v>
      </c>
      <c r="D45" s="15">
        <v>18</v>
      </c>
      <c r="E45" s="16"/>
      <c r="F45" s="16"/>
      <c r="G45" s="16"/>
      <c r="H45" s="15">
        <v>18</v>
      </c>
      <c r="I45" s="15">
        <v>18</v>
      </c>
      <c r="J45" s="15">
        <v>18</v>
      </c>
      <c r="K45" s="15">
        <v>9</v>
      </c>
      <c r="L45" s="15">
        <v>9</v>
      </c>
      <c r="M45" s="15">
        <v>9</v>
      </c>
    </row>
    <row r="46" spans="1:13" x14ac:dyDescent="0.35">
      <c r="A46" s="14" t="s">
        <v>19</v>
      </c>
      <c r="B46" s="15">
        <v>9</v>
      </c>
      <c r="C46" s="15">
        <v>9</v>
      </c>
      <c r="D46" s="15">
        <v>9</v>
      </c>
      <c r="E46" s="16"/>
      <c r="F46" s="16"/>
      <c r="G46" s="16"/>
      <c r="H46" s="15"/>
      <c r="I46" s="15"/>
      <c r="J46" s="15"/>
      <c r="K46" s="16"/>
      <c r="L46" s="16"/>
      <c r="M46" s="16"/>
    </row>
    <row r="47" spans="1:13" x14ac:dyDescent="0.35">
      <c r="A47" s="14" t="s">
        <v>20</v>
      </c>
      <c r="B47" s="15">
        <v>6</v>
      </c>
      <c r="C47" s="15">
        <v>6</v>
      </c>
      <c r="D47" s="15">
        <v>6</v>
      </c>
      <c r="E47" s="16"/>
      <c r="F47" s="16"/>
      <c r="G47" s="16"/>
      <c r="H47" s="15">
        <v>6</v>
      </c>
      <c r="I47" s="15">
        <v>6</v>
      </c>
      <c r="J47" s="15">
        <v>6</v>
      </c>
      <c r="K47" s="16"/>
      <c r="L47" s="16"/>
      <c r="M47" s="16"/>
    </row>
    <row r="48" spans="1:13" x14ac:dyDescent="0.35">
      <c r="A48" s="14" t="s">
        <v>21</v>
      </c>
      <c r="B48" s="15">
        <v>3</v>
      </c>
      <c r="C48" s="15">
        <v>3</v>
      </c>
      <c r="D48" s="15">
        <v>3</v>
      </c>
      <c r="E48" s="16"/>
      <c r="F48" s="16"/>
      <c r="G48" s="16"/>
      <c r="H48" s="15">
        <v>3</v>
      </c>
      <c r="I48" s="15">
        <v>3</v>
      </c>
      <c r="J48" s="15">
        <v>3</v>
      </c>
      <c r="K48" s="16"/>
      <c r="L48" s="16"/>
      <c r="M48" s="16"/>
    </row>
    <row r="49" spans="1:13" ht="17.25" customHeight="1" x14ac:dyDescent="0.35">
      <c r="A49" s="14" t="s">
        <v>22</v>
      </c>
      <c r="B49" s="15">
        <v>0.6</v>
      </c>
      <c r="C49" s="15">
        <v>0.6</v>
      </c>
      <c r="D49" s="15">
        <v>0.6</v>
      </c>
      <c r="E49" s="16">
        <v>0</v>
      </c>
      <c r="F49" s="16">
        <v>0</v>
      </c>
      <c r="G49" s="16">
        <v>0</v>
      </c>
      <c r="H49" s="15">
        <v>0.6</v>
      </c>
      <c r="I49" s="15">
        <v>0.6</v>
      </c>
      <c r="J49" s="15">
        <v>0.6</v>
      </c>
      <c r="K49" s="16">
        <v>0</v>
      </c>
      <c r="L49" s="16">
        <v>0</v>
      </c>
      <c r="M49" s="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5507-FECD-44D6-9FA5-00F8D89D1F0B}">
  <dimension ref="A1:M39"/>
  <sheetViews>
    <sheetView topLeftCell="A12" workbookViewId="0">
      <selection activeCell="P13" sqref="P13"/>
    </sheetView>
  </sheetViews>
  <sheetFormatPr defaultRowHeight="14.5" x14ac:dyDescent="0.35"/>
  <cols>
    <col min="1" max="1" width="11.26953125" customWidth="1"/>
    <col min="7" max="7" width="11.1796875" customWidth="1"/>
    <col min="8" max="8" width="12.26953125" customWidth="1"/>
    <col min="9" max="9" width="11.453125" customWidth="1"/>
    <col min="10" max="10" width="11.81640625" customWidth="1"/>
  </cols>
  <sheetData>
    <row r="1" spans="1:13" x14ac:dyDescent="0.35">
      <c r="A1" s="7" t="s">
        <v>4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x14ac:dyDescent="0.35">
      <c r="A2" s="8" t="s">
        <v>15</v>
      </c>
      <c r="B2" s="9">
        <v>5.5E-2</v>
      </c>
      <c r="C2" s="9">
        <v>5.3999999999999999E-2</v>
      </c>
      <c r="D2" s="9">
        <v>5.3999999999999999E-2</v>
      </c>
      <c r="E2" s="9">
        <v>4.4999999999999998E-2</v>
      </c>
      <c r="F2" s="9">
        <v>4.3999999999999997E-2</v>
      </c>
      <c r="G2" s="9">
        <v>4.3999999999999997E-2</v>
      </c>
      <c r="H2" s="9">
        <v>3.6999999999999998E-2</v>
      </c>
      <c r="I2" s="9">
        <v>3.7999999999999999E-2</v>
      </c>
      <c r="J2" s="9">
        <v>3.7999999999999999E-2</v>
      </c>
      <c r="K2" s="9">
        <v>3.6999999999999998E-2</v>
      </c>
      <c r="L2" s="9">
        <v>3.6999999999999998E-2</v>
      </c>
      <c r="M2" s="9">
        <v>3.7999999999999999E-2</v>
      </c>
    </row>
    <row r="3" spans="1:13" x14ac:dyDescent="0.35">
      <c r="A3" s="8" t="s">
        <v>16</v>
      </c>
      <c r="B3" s="9">
        <v>6.6000000000000003E-2</v>
      </c>
      <c r="C3" s="9">
        <v>5.6000000000000001E-2</v>
      </c>
      <c r="D3" s="9">
        <v>6.5000000000000002E-2</v>
      </c>
      <c r="E3" s="9">
        <v>8.2000000000000003E-2</v>
      </c>
      <c r="F3" s="9">
        <v>0.109</v>
      </c>
      <c r="G3" s="9">
        <v>0.105</v>
      </c>
      <c r="H3" s="9">
        <v>6.5000000000000002E-2</v>
      </c>
      <c r="I3" s="9">
        <v>6.4000000000000001E-2</v>
      </c>
      <c r="J3" s="9">
        <v>7.4999999999999997E-2</v>
      </c>
      <c r="K3" s="9">
        <v>3.7999999999999999E-2</v>
      </c>
      <c r="L3" s="9">
        <v>3.7999999999999999E-2</v>
      </c>
      <c r="M3" s="9">
        <v>3.7999999999999999E-2</v>
      </c>
    </row>
    <row r="4" spans="1:13" x14ac:dyDescent="0.35">
      <c r="A4" s="8" t="s">
        <v>17</v>
      </c>
      <c r="B4" s="9">
        <v>4.2000000000000003E-2</v>
      </c>
      <c r="C4" s="9">
        <v>4.2999999999999997E-2</v>
      </c>
      <c r="D4" s="9">
        <v>4.2000000000000003E-2</v>
      </c>
      <c r="E4" s="9">
        <v>6.7000000000000004E-2</v>
      </c>
      <c r="F4" s="9">
        <v>6.5000000000000002E-2</v>
      </c>
      <c r="G4" s="9">
        <v>6.7000000000000004E-2</v>
      </c>
      <c r="H4" s="9">
        <v>0.15</v>
      </c>
      <c r="I4" s="9">
        <v>0.17</v>
      </c>
      <c r="J4" s="9">
        <v>0.14499999999999999</v>
      </c>
      <c r="K4" s="9">
        <v>3.9E-2</v>
      </c>
      <c r="L4" s="9">
        <v>3.9E-2</v>
      </c>
      <c r="M4" s="9">
        <v>0.04</v>
      </c>
    </row>
    <row r="5" spans="1:13" x14ac:dyDescent="0.35">
      <c r="A5" s="8" t="s">
        <v>18</v>
      </c>
      <c r="B5" s="9">
        <v>0.06</v>
      </c>
      <c r="C5" s="9">
        <v>6.0999999999999999E-2</v>
      </c>
      <c r="D5" s="9">
        <v>0.06</v>
      </c>
      <c r="E5" s="9">
        <v>6.6000000000000003E-2</v>
      </c>
      <c r="F5" s="9">
        <v>6.6000000000000003E-2</v>
      </c>
      <c r="G5" s="9">
        <v>6.6000000000000003E-2</v>
      </c>
      <c r="H5" s="9">
        <v>0.56200000000000006</v>
      </c>
      <c r="I5" s="9">
        <v>0.57699999999999996</v>
      </c>
      <c r="J5" s="9">
        <v>0.60099999999999998</v>
      </c>
      <c r="K5" s="9">
        <v>4.2000000000000003E-2</v>
      </c>
      <c r="L5" s="9">
        <v>4.3999999999999997E-2</v>
      </c>
      <c r="M5" s="9">
        <v>4.2000000000000003E-2</v>
      </c>
    </row>
    <row r="6" spans="1:13" x14ac:dyDescent="0.35">
      <c r="A6" s="8" t="s">
        <v>19</v>
      </c>
      <c r="B6" s="9">
        <v>4.2000000000000003E-2</v>
      </c>
      <c r="C6" s="9">
        <v>4.2000000000000003E-2</v>
      </c>
      <c r="D6" s="9">
        <v>4.2999999999999997E-2</v>
      </c>
      <c r="E6" s="9">
        <v>7.2999999999999995E-2</v>
      </c>
      <c r="F6" s="9">
        <v>7.0000000000000007E-2</v>
      </c>
      <c r="G6" s="9">
        <v>7.2999999999999995E-2</v>
      </c>
      <c r="H6" s="9">
        <v>4.7E-2</v>
      </c>
      <c r="I6" s="9">
        <v>4.7E-2</v>
      </c>
      <c r="J6" s="9">
        <v>4.7E-2</v>
      </c>
      <c r="K6" s="9">
        <v>4.7E-2</v>
      </c>
      <c r="L6" s="9">
        <v>4.7E-2</v>
      </c>
      <c r="M6" s="9">
        <v>4.8000000000000001E-2</v>
      </c>
    </row>
    <row r="7" spans="1:13" x14ac:dyDescent="0.35">
      <c r="A7" s="8" t="s">
        <v>20</v>
      </c>
      <c r="B7" s="9">
        <v>4.3999999999999997E-2</v>
      </c>
      <c r="C7" s="9">
        <v>4.2999999999999997E-2</v>
      </c>
      <c r="D7" s="9">
        <v>4.2999999999999997E-2</v>
      </c>
      <c r="E7" s="9">
        <v>0.80300000000000005</v>
      </c>
      <c r="F7" s="9">
        <v>0.751</v>
      </c>
      <c r="G7" s="9">
        <v>0.746</v>
      </c>
      <c r="H7" s="9">
        <v>4.7E-2</v>
      </c>
      <c r="I7" s="9">
        <v>4.7E-2</v>
      </c>
      <c r="J7" s="9">
        <v>4.7E-2</v>
      </c>
      <c r="K7" s="9">
        <v>4.7E-2</v>
      </c>
      <c r="L7" s="9">
        <v>4.7E-2</v>
      </c>
      <c r="M7" s="9">
        <v>4.7E-2</v>
      </c>
    </row>
    <row r="8" spans="1:13" x14ac:dyDescent="0.35">
      <c r="A8" s="8" t="s">
        <v>21</v>
      </c>
      <c r="B8" s="9">
        <v>4.8000000000000001E-2</v>
      </c>
      <c r="C8" s="9">
        <v>4.5999999999999999E-2</v>
      </c>
      <c r="D8" s="9">
        <v>4.5999999999999999E-2</v>
      </c>
      <c r="E8" s="9">
        <v>4.8000000000000001E-2</v>
      </c>
      <c r="F8" s="9">
        <v>4.7E-2</v>
      </c>
      <c r="G8" s="9">
        <v>4.7E-2</v>
      </c>
      <c r="H8" s="9">
        <v>4.7E-2</v>
      </c>
      <c r="I8" s="9">
        <v>4.7E-2</v>
      </c>
      <c r="J8" s="9">
        <v>4.7E-2</v>
      </c>
      <c r="K8" s="9">
        <v>4.7E-2</v>
      </c>
      <c r="L8" s="9">
        <v>4.7E-2</v>
      </c>
      <c r="M8" s="9">
        <v>4.7E-2</v>
      </c>
    </row>
    <row r="9" spans="1:13" x14ac:dyDescent="0.35">
      <c r="A9" s="8" t="s">
        <v>22</v>
      </c>
      <c r="B9" s="9">
        <v>3.9E-2</v>
      </c>
      <c r="C9" s="9">
        <v>3.7999999999999999E-2</v>
      </c>
      <c r="D9" s="9">
        <v>3.7999999999999999E-2</v>
      </c>
      <c r="E9" s="9">
        <v>4.8000000000000001E-2</v>
      </c>
      <c r="F9" s="9">
        <v>4.7E-2</v>
      </c>
      <c r="G9" s="9">
        <v>4.7E-2</v>
      </c>
      <c r="H9" s="9">
        <v>4.7E-2</v>
      </c>
      <c r="I9" s="9">
        <v>4.7E-2</v>
      </c>
      <c r="J9" s="9">
        <v>4.7E-2</v>
      </c>
      <c r="K9" s="9">
        <v>4.7E-2</v>
      </c>
      <c r="L9" s="9">
        <v>4.7E-2</v>
      </c>
      <c r="M9" s="9">
        <v>4.7E-2</v>
      </c>
    </row>
    <row r="11" spans="1:13" x14ac:dyDescent="0.35">
      <c r="A11" s="7" t="s">
        <v>5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3" x14ac:dyDescent="0.35">
      <c r="A12" s="8" t="s">
        <v>15</v>
      </c>
      <c r="B12" s="9">
        <v>6.5000000000000002E-2</v>
      </c>
      <c r="C12" s="9">
        <v>6.3E-2</v>
      </c>
      <c r="D12" s="9">
        <v>6.2E-2</v>
      </c>
      <c r="E12" s="9">
        <v>4.5999999999999999E-2</v>
      </c>
      <c r="F12" s="9">
        <v>4.5999999999999999E-2</v>
      </c>
      <c r="G12" s="9">
        <v>4.5999999999999999E-2</v>
      </c>
      <c r="H12" s="9">
        <v>3.7999999999999999E-2</v>
      </c>
      <c r="I12" s="9">
        <v>4.4999999999999998E-2</v>
      </c>
      <c r="J12" s="9">
        <v>3.9E-2</v>
      </c>
      <c r="K12" s="9">
        <v>3.7999999999999999E-2</v>
      </c>
      <c r="L12" s="9">
        <v>3.7999999999999999E-2</v>
      </c>
      <c r="M12" s="9">
        <v>3.9E-2</v>
      </c>
    </row>
    <row r="13" spans="1:13" x14ac:dyDescent="0.35">
      <c r="A13" s="8" t="s">
        <v>16</v>
      </c>
      <c r="B13" s="9">
        <v>7.8E-2</v>
      </c>
      <c r="C13" s="9">
        <v>7.0000000000000007E-2</v>
      </c>
      <c r="D13" s="9">
        <v>7.5999999999999998E-2</v>
      </c>
      <c r="E13" s="9">
        <v>0.108</v>
      </c>
      <c r="F13" s="9">
        <v>0.113</v>
      </c>
      <c r="G13" s="9">
        <v>0.112</v>
      </c>
      <c r="H13" s="9">
        <v>0.11700000000000001</v>
      </c>
      <c r="I13" s="9">
        <v>0.104</v>
      </c>
      <c r="J13" s="9">
        <v>0.11799999999999999</v>
      </c>
      <c r="K13" s="9">
        <v>7.3999999999999996E-2</v>
      </c>
      <c r="L13" s="9">
        <v>0.09</v>
      </c>
      <c r="M13" s="9">
        <v>0.08</v>
      </c>
    </row>
    <row r="14" spans="1:13" x14ac:dyDescent="0.35">
      <c r="A14" s="8" t="s">
        <v>17</v>
      </c>
      <c r="B14" s="9">
        <v>7.0000000000000007E-2</v>
      </c>
      <c r="C14" s="9">
        <v>6.0999999999999999E-2</v>
      </c>
      <c r="D14" s="9">
        <v>6.8000000000000005E-2</v>
      </c>
      <c r="E14" s="9">
        <v>0.16900000000000001</v>
      </c>
      <c r="F14" s="9">
        <v>0.19500000000000001</v>
      </c>
      <c r="G14" s="9">
        <v>0.17299999999999999</v>
      </c>
      <c r="H14" s="9">
        <v>0.28399999999999997</v>
      </c>
      <c r="I14" s="9">
        <v>0.28799999999999998</v>
      </c>
      <c r="J14" s="9">
        <v>0.28399999999999997</v>
      </c>
      <c r="K14" s="9">
        <v>0.191</v>
      </c>
      <c r="L14" s="9">
        <v>0.17899999999999999</v>
      </c>
      <c r="M14" s="9">
        <v>0.189</v>
      </c>
    </row>
    <row r="15" spans="1:13" x14ac:dyDescent="0.35">
      <c r="A15" s="8" t="s">
        <v>18</v>
      </c>
      <c r="B15" s="9">
        <v>6.4000000000000001E-2</v>
      </c>
      <c r="C15" s="9">
        <v>6.8000000000000005E-2</v>
      </c>
      <c r="D15" s="9">
        <v>6.3E-2</v>
      </c>
      <c r="E15" s="9">
        <v>0.21299999999999999</v>
      </c>
      <c r="F15" s="9">
        <v>0.21099999999999999</v>
      </c>
      <c r="G15" s="9">
        <v>0.151</v>
      </c>
      <c r="H15" s="9">
        <v>0.74199999999999999</v>
      </c>
      <c r="I15" s="9">
        <v>0.73799999999999999</v>
      </c>
      <c r="J15" s="9">
        <v>0.73199999999999998</v>
      </c>
      <c r="K15" s="9">
        <v>0.28799999999999998</v>
      </c>
      <c r="L15" s="9">
        <v>0.29499999999999998</v>
      </c>
      <c r="M15" s="9">
        <v>0.29899999999999999</v>
      </c>
    </row>
    <row r="16" spans="1:13" x14ac:dyDescent="0.35">
      <c r="A16" s="8" t="s">
        <v>19</v>
      </c>
      <c r="B16" s="9">
        <v>4.4999999999999998E-2</v>
      </c>
      <c r="C16" s="9">
        <v>4.5999999999999999E-2</v>
      </c>
      <c r="D16" s="9">
        <v>4.5999999999999999E-2</v>
      </c>
      <c r="E16" s="9">
        <v>0.188</v>
      </c>
      <c r="F16" s="9">
        <v>0.22600000000000001</v>
      </c>
      <c r="G16" s="9">
        <v>0.21199999999999999</v>
      </c>
      <c r="H16" s="9">
        <v>0.05</v>
      </c>
      <c r="I16" s="9">
        <v>0.05</v>
      </c>
      <c r="J16" s="9">
        <v>4.7E-2</v>
      </c>
      <c r="K16" s="9">
        <v>4.7E-2</v>
      </c>
      <c r="L16" s="9">
        <v>4.7E-2</v>
      </c>
      <c r="M16" s="9">
        <v>4.8000000000000001E-2</v>
      </c>
    </row>
    <row r="17" spans="1:13" x14ac:dyDescent="0.35">
      <c r="A17" s="8" t="s">
        <v>20</v>
      </c>
      <c r="B17" s="9">
        <v>4.7E-2</v>
      </c>
      <c r="C17" s="9">
        <v>4.5999999999999999E-2</v>
      </c>
      <c r="D17" s="9">
        <v>4.3999999999999997E-2</v>
      </c>
      <c r="E17" s="9">
        <v>1.002</v>
      </c>
      <c r="F17" s="9">
        <v>1.202</v>
      </c>
      <c r="G17" s="9">
        <v>1.0029999999999999</v>
      </c>
      <c r="H17" s="9">
        <v>4.8000000000000001E-2</v>
      </c>
      <c r="I17" s="9">
        <v>4.7E-2</v>
      </c>
      <c r="J17" s="9">
        <v>4.7E-2</v>
      </c>
      <c r="K17" s="9">
        <v>4.7E-2</v>
      </c>
      <c r="L17" s="9">
        <v>4.7E-2</v>
      </c>
      <c r="M17" s="9">
        <v>4.7E-2</v>
      </c>
    </row>
    <row r="18" spans="1:13" x14ac:dyDescent="0.35">
      <c r="A18" s="8" t="s">
        <v>21</v>
      </c>
      <c r="B18" s="9">
        <v>4.9000000000000002E-2</v>
      </c>
      <c r="C18" s="9">
        <v>4.9000000000000002E-2</v>
      </c>
      <c r="D18" s="9">
        <v>4.8000000000000001E-2</v>
      </c>
      <c r="E18" s="9">
        <v>4.7E-2</v>
      </c>
      <c r="F18" s="9">
        <v>4.7E-2</v>
      </c>
      <c r="G18" s="9">
        <v>4.8000000000000001E-2</v>
      </c>
      <c r="H18" s="9">
        <v>4.7E-2</v>
      </c>
      <c r="I18" s="9">
        <v>4.7E-2</v>
      </c>
      <c r="J18" s="9">
        <v>4.7E-2</v>
      </c>
      <c r="K18" s="9">
        <v>4.7E-2</v>
      </c>
      <c r="L18" s="9">
        <v>4.7E-2</v>
      </c>
      <c r="M18" s="9">
        <v>4.7E-2</v>
      </c>
    </row>
    <row r="19" spans="1:13" x14ac:dyDescent="0.35">
      <c r="A19" s="8" t="s">
        <v>22</v>
      </c>
      <c r="B19" s="9">
        <v>4.5999999999999999E-2</v>
      </c>
      <c r="C19" s="9">
        <v>4.5999999999999999E-2</v>
      </c>
      <c r="D19" s="9">
        <v>4.5999999999999999E-2</v>
      </c>
      <c r="E19" s="9">
        <v>4.8000000000000001E-2</v>
      </c>
      <c r="F19" s="9">
        <v>4.7E-2</v>
      </c>
      <c r="G19" s="9">
        <v>4.7E-2</v>
      </c>
      <c r="H19" s="9">
        <v>4.7E-2</v>
      </c>
      <c r="I19" s="9">
        <v>4.7E-2</v>
      </c>
      <c r="J19" s="9">
        <v>4.7E-2</v>
      </c>
      <c r="K19" s="9">
        <v>4.7E-2</v>
      </c>
      <c r="L19" s="9">
        <v>4.7E-2</v>
      </c>
      <c r="M19" s="9">
        <v>4.7E-2</v>
      </c>
    </row>
    <row r="21" spans="1:13" x14ac:dyDescent="0.35">
      <c r="A21" s="13" t="s">
        <v>26</v>
      </c>
      <c r="B21" s="14">
        <v>1</v>
      </c>
      <c r="C21" s="14">
        <v>2</v>
      </c>
      <c r="D21" s="14">
        <v>3</v>
      </c>
      <c r="E21" s="14">
        <v>4</v>
      </c>
      <c r="F21" s="14">
        <v>5</v>
      </c>
      <c r="G21" s="14">
        <v>6</v>
      </c>
      <c r="H21" s="14">
        <v>7</v>
      </c>
      <c r="I21" s="14">
        <v>8</v>
      </c>
      <c r="J21" s="14">
        <v>9</v>
      </c>
      <c r="K21" s="14">
        <v>10</v>
      </c>
      <c r="L21" s="14">
        <v>11</v>
      </c>
      <c r="M21" s="14">
        <v>12</v>
      </c>
    </row>
    <row r="22" spans="1:13" ht="37.5" x14ac:dyDescent="0.35">
      <c r="A22" s="14" t="s">
        <v>15</v>
      </c>
      <c r="B22" s="15" t="s">
        <v>53</v>
      </c>
      <c r="C22" s="15" t="s">
        <v>53</v>
      </c>
      <c r="D22" s="15" t="s">
        <v>53</v>
      </c>
      <c r="E22" s="16" t="s">
        <v>61</v>
      </c>
      <c r="F22" s="16" t="s">
        <v>61</v>
      </c>
      <c r="G22" s="16" t="s">
        <v>61</v>
      </c>
      <c r="H22" s="16" t="s">
        <v>65</v>
      </c>
      <c r="I22" s="16" t="s">
        <v>65</v>
      </c>
      <c r="J22" s="16" t="s">
        <v>65</v>
      </c>
      <c r="K22" s="16" t="s">
        <v>69</v>
      </c>
      <c r="L22" s="16" t="s">
        <v>69</v>
      </c>
      <c r="M22" s="16" t="s">
        <v>69</v>
      </c>
    </row>
    <row r="23" spans="1:13" ht="37.5" x14ac:dyDescent="0.35">
      <c r="A23" s="14" t="s">
        <v>16</v>
      </c>
      <c r="B23" s="15" t="s">
        <v>54</v>
      </c>
      <c r="C23" s="15" t="s">
        <v>54</v>
      </c>
      <c r="D23" s="15" t="s">
        <v>54</v>
      </c>
      <c r="E23" s="16" t="s">
        <v>62</v>
      </c>
      <c r="F23" s="16" t="s">
        <v>62</v>
      </c>
      <c r="G23" s="16" t="s">
        <v>62</v>
      </c>
      <c r="H23" s="16" t="s">
        <v>66</v>
      </c>
      <c r="I23" s="16" t="s">
        <v>66</v>
      </c>
      <c r="J23" s="16" t="s">
        <v>66</v>
      </c>
      <c r="K23" s="16" t="s">
        <v>70</v>
      </c>
      <c r="L23" s="16" t="s">
        <v>70</v>
      </c>
      <c r="M23" s="16" t="s">
        <v>70</v>
      </c>
    </row>
    <row r="24" spans="1:13" ht="37.5" x14ac:dyDescent="0.35">
      <c r="A24" s="14" t="s">
        <v>17</v>
      </c>
      <c r="B24" s="15" t="s">
        <v>55</v>
      </c>
      <c r="C24" s="15" t="s">
        <v>55</v>
      </c>
      <c r="D24" s="15" t="s">
        <v>55</v>
      </c>
      <c r="E24" s="16" t="s">
        <v>63</v>
      </c>
      <c r="F24" s="16" t="s">
        <v>63</v>
      </c>
      <c r="G24" s="16" t="s">
        <v>63</v>
      </c>
      <c r="H24" s="16" t="s">
        <v>67</v>
      </c>
      <c r="I24" s="16" t="s">
        <v>67</v>
      </c>
      <c r="J24" s="16" t="s">
        <v>67</v>
      </c>
      <c r="K24" s="16" t="s">
        <v>71</v>
      </c>
      <c r="L24" s="16" t="s">
        <v>71</v>
      </c>
      <c r="M24" s="16" t="s">
        <v>71</v>
      </c>
    </row>
    <row r="25" spans="1:13" ht="37.5" x14ac:dyDescent="0.35">
      <c r="A25" s="14" t="s">
        <v>18</v>
      </c>
      <c r="B25" s="15" t="s">
        <v>56</v>
      </c>
      <c r="C25" s="15" t="s">
        <v>56</v>
      </c>
      <c r="D25" s="15" t="s">
        <v>56</v>
      </c>
      <c r="E25" s="16" t="s">
        <v>73</v>
      </c>
      <c r="F25" s="16" t="s">
        <v>73</v>
      </c>
      <c r="G25" s="16" t="s">
        <v>73</v>
      </c>
      <c r="H25" s="16" t="s">
        <v>68</v>
      </c>
      <c r="I25" s="16" t="s">
        <v>68</v>
      </c>
      <c r="J25" s="16" t="s">
        <v>68</v>
      </c>
      <c r="K25" s="16" t="s">
        <v>72</v>
      </c>
      <c r="L25" s="16" t="s">
        <v>72</v>
      </c>
      <c r="M25" s="16" t="s">
        <v>72</v>
      </c>
    </row>
    <row r="26" spans="1:13" ht="37.5" x14ac:dyDescent="0.35">
      <c r="A26" s="14" t="s">
        <v>19</v>
      </c>
      <c r="B26" s="15" t="s">
        <v>57</v>
      </c>
      <c r="C26" s="15" t="s">
        <v>57</v>
      </c>
      <c r="D26" s="15" t="s">
        <v>57</v>
      </c>
      <c r="E26" s="16" t="s">
        <v>64</v>
      </c>
      <c r="F26" s="16" t="s">
        <v>64</v>
      </c>
      <c r="G26" s="16" t="s">
        <v>64</v>
      </c>
      <c r="H26" s="16"/>
      <c r="I26" s="16"/>
      <c r="J26" s="16"/>
      <c r="K26" s="16"/>
      <c r="L26" s="16"/>
      <c r="M26" s="16"/>
    </row>
    <row r="27" spans="1:13" ht="37.5" x14ac:dyDescent="0.35">
      <c r="A27" s="14" t="s">
        <v>20</v>
      </c>
      <c r="B27" s="15" t="s">
        <v>58</v>
      </c>
      <c r="C27" s="15" t="s">
        <v>58</v>
      </c>
      <c r="D27" s="15" t="s">
        <v>58</v>
      </c>
      <c r="E27" s="16" t="s">
        <v>74</v>
      </c>
      <c r="F27" s="16" t="s">
        <v>74</v>
      </c>
      <c r="G27" s="16" t="s">
        <v>74</v>
      </c>
      <c r="H27" s="16"/>
      <c r="I27" s="16"/>
      <c r="J27" s="16"/>
      <c r="K27" s="16"/>
      <c r="L27" s="16"/>
      <c r="M27" s="16"/>
    </row>
    <row r="28" spans="1:13" ht="25" x14ac:dyDescent="0.35">
      <c r="A28" s="14" t="s">
        <v>21</v>
      </c>
      <c r="B28" s="15" t="s">
        <v>59</v>
      </c>
      <c r="C28" s="15" t="s">
        <v>59</v>
      </c>
      <c r="D28" s="15" t="s">
        <v>59</v>
      </c>
      <c r="E28" s="16"/>
      <c r="F28" s="16"/>
      <c r="G28" s="16"/>
      <c r="H28" s="16"/>
      <c r="I28" s="16"/>
      <c r="J28" s="16"/>
      <c r="K28" s="16"/>
      <c r="L28" s="16"/>
      <c r="M28" s="16"/>
    </row>
    <row r="29" spans="1:13" ht="37.5" x14ac:dyDescent="0.35">
      <c r="A29" s="14" t="s">
        <v>22</v>
      </c>
      <c r="B29" s="15" t="s">
        <v>60</v>
      </c>
      <c r="C29" s="15" t="s">
        <v>60</v>
      </c>
      <c r="D29" s="15" t="s">
        <v>60</v>
      </c>
      <c r="E29" s="16"/>
      <c r="F29" s="16"/>
      <c r="G29" s="16"/>
      <c r="H29" s="16"/>
      <c r="I29" s="16"/>
      <c r="J29" s="16"/>
      <c r="K29" s="16"/>
      <c r="L29" s="16"/>
      <c r="M29" s="16"/>
    </row>
    <row r="31" spans="1:13" x14ac:dyDescent="0.35">
      <c r="A31" s="13" t="s">
        <v>50</v>
      </c>
      <c r="B31" s="14">
        <v>1</v>
      </c>
      <c r="C31" s="14">
        <v>2</v>
      </c>
      <c r="D31" s="14">
        <v>3</v>
      </c>
      <c r="E31" s="14">
        <v>4</v>
      </c>
      <c r="F31" s="14">
        <v>5</v>
      </c>
      <c r="G31" s="14">
        <v>6</v>
      </c>
      <c r="H31" s="14">
        <v>7</v>
      </c>
      <c r="I31" s="14">
        <v>8</v>
      </c>
      <c r="J31" s="14">
        <v>9</v>
      </c>
      <c r="K31" s="14">
        <v>10</v>
      </c>
      <c r="L31" s="14">
        <v>11</v>
      </c>
      <c r="M31" s="14">
        <v>12</v>
      </c>
    </row>
    <row r="32" spans="1:13" x14ac:dyDescent="0.35">
      <c r="A32" s="14" t="s">
        <v>15</v>
      </c>
      <c r="B32" s="16">
        <v>1</v>
      </c>
      <c r="C32" s="16">
        <v>1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</row>
    <row r="33" spans="1:13" x14ac:dyDescent="0.35">
      <c r="A33" s="14" t="s">
        <v>16</v>
      </c>
      <c r="B33" s="16">
        <v>1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</row>
    <row r="34" spans="1:13" x14ac:dyDescent="0.35">
      <c r="A34" s="14" t="s">
        <v>17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</row>
    <row r="35" spans="1:13" x14ac:dyDescent="0.35">
      <c r="A35" s="14" t="s">
        <v>18</v>
      </c>
      <c r="B35" s="16">
        <v>1</v>
      </c>
      <c r="C35" s="16">
        <v>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</row>
    <row r="36" spans="1:13" x14ac:dyDescent="0.35">
      <c r="A36" s="14" t="s">
        <v>19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</row>
    <row r="37" spans="1:13" x14ac:dyDescent="0.35">
      <c r="A37" s="14" t="s">
        <v>20</v>
      </c>
      <c r="B37" s="16">
        <v>1</v>
      </c>
      <c r="C37" s="16">
        <v>1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</row>
    <row r="38" spans="1:13" x14ac:dyDescent="0.35">
      <c r="A38" s="14" t="s">
        <v>21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</row>
    <row r="39" spans="1:13" x14ac:dyDescent="0.35">
      <c r="A39" s="14" t="s">
        <v>22</v>
      </c>
      <c r="B39" s="16">
        <v>1</v>
      </c>
      <c r="C39" s="16">
        <v>1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DF9C-9E73-4B6B-9EF8-D054A2BE0063}">
  <dimension ref="A1:M20"/>
  <sheetViews>
    <sheetView topLeftCell="A8" workbookViewId="0">
      <selection activeCell="N13" sqref="N13"/>
    </sheetView>
  </sheetViews>
  <sheetFormatPr defaultRowHeight="14.5" x14ac:dyDescent="0.35"/>
  <sheetData>
    <row r="1" spans="1:13" x14ac:dyDescent="0.35">
      <c r="A1" s="13" t="s">
        <v>75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</row>
    <row r="2" spans="1:13" ht="25" x14ac:dyDescent="0.35">
      <c r="A2" s="14" t="s">
        <v>15</v>
      </c>
      <c r="B2" s="15" t="s">
        <v>27</v>
      </c>
      <c r="C2" s="15" t="s">
        <v>27</v>
      </c>
      <c r="D2" s="15" t="s">
        <v>27</v>
      </c>
      <c r="E2" s="16" t="s">
        <v>28</v>
      </c>
      <c r="F2" s="16" t="s">
        <v>28</v>
      </c>
      <c r="G2" s="16" t="s">
        <v>28</v>
      </c>
      <c r="H2" s="16" t="s">
        <v>29</v>
      </c>
      <c r="I2" s="16" t="s">
        <v>29</v>
      </c>
      <c r="J2" s="16" t="s">
        <v>29</v>
      </c>
      <c r="K2" s="16" t="s">
        <v>30</v>
      </c>
      <c r="L2" s="16" t="s">
        <v>30</v>
      </c>
      <c r="M2" s="16" t="s">
        <v>30</v>
      </c>
    </row>
    <row r="3" spans="1:13" ht="25" x14ac:dyDescent="0.35">
      <c r="A3" s="14" t="s">
        <v>16</v>
      </c>
      <c r="B3" s="17" t="s">
        <v>31</v>
      </c>
      <c r="C3" s="18" t="s">
        <v>31</v>
      </c>
      <c r="D3" s="18" t="s">
        <v>31</v>
      </c>
      <c r="E3" s="16" t="s">
        <v>32</v>
      </c>
      <c r="F3" s="16" t="s">
        <v>32</v>
      </c>
      <c r="G3" s="16" t="s">
        <v>32</v>
      </c>
      <c r="H3" s="19" t="s">
        <v>33</v>
      </c>
      <c r="I3" s="20" t="s">
        <v>33</v>
      </c>
      <c r="J3" t="s">
        <v>33</v>
      </c>
      <c r="K3" s="16" t="s">
        <v>34</v>
      </c>
      <c r="L3" s="16" t="s">
        <v>34</v>
      </c>
      <c r="M3" s="16" t="s">
        <v>34</v>
      </c>
    </row>
    <row r="4" spans="1:13" ht="25" x14ac:dyDescent="0.35">
      <c r="A4" s="14" t="s">
        <v>17</v>
      </c>
      <c r="B4" s="15" t="s">
        <v>35</v>
      </c>
      <c r="C4" s="15" t="s">
        <v>35</v>
      </c>
      <c r="D4" s="15" t="s">
        <v>35</v>
      </c>
      <c r="E4" s="16" t="s">
        <v>36</v>
      </c>
      <c r="F4" s="16" t="s">
        <v>36</v>
      </c>
      <c r="G4" s="16" t="s">
        <v>36</v>
      </c>
      <c r="H4" s="16" t="s">
        <v>37</v>
      </c>
      <c r="I4" s="16" t="s">
        <v>37</v>
      </c>
      <c r="J4" s="16" t="s">
        <v>37</v>
      </c>
      <c r="K4" s="16" t="s">
        <v>38</v>
      </c>
      <c r="L4" s="16" t="s">
        <v>38</v>
      </c>
      <c r="M4" s="16" t="s">
        <v>38</v>
      </c>
    </row>
    <row r="5" spans="1:13" ht="25" x14ac:dyDescent="0.35">
      <c r="A5" s="14" t="s">
        <v>18</v>
      </c>
      <c r="B5" s="15" t="s">
        <v>39</v>
      </c>
      <c r="C5" s="15" t="s">
        <v>39</v>
      </c>
      <c r="D5" s="15" t="s">
        <v>39</v>
      </c>
      <c r="E5" s="16"/>
      <c r="F5" s="16"/>
      <c r="G5" s="16"/>
      <c r="H5" s="23" t="s">
        <v>40</v>
      </c>
      <c r="I5" s="23" t="s">
        <v>40</v>
      </c>
      <c r="J5" s="23" t="s">
        <v>40</v>
      </c>
      <c r="K5" s="23" t="s">
        <v>42</v>
      </c>
      <c r="L5" s="23" t="s">
        <v>42</v>
      </c>
      <c r="M5" s="23" t="s">
        <v>42</v>
      </c>
    </row>
    <row r="6" spans="1:13" ht="25" x14ac:dyDescent="0.35">
      <c r="A6" s="14" t="s">
        <v>19</v>
      </c>
      <c r="B6" s="15" t="s">
        <v>41</v>
      </c>
      <c r="C6" s="15" t="s">
        <v>41</v>
      </c>
      <c r="D6" s="15" t="s">
        <v>41</v>
      </c>
      <c r="E6" s="16"/>
      <c r="F6" s="16"/>
      <c r="G6" s="22"/>
      <c r="H6" s="25" t="s">
        <v>52</v>
      </c>
      <c r="I6" s="25" t="s">
        <v>52</v>
      </c>
      <c r="J6" s="25" t="s">
        <v>52</v>
      </c>
      <c r="K6" s="26"/>
      <c r="L6" s="26"/>
      <c r="M6" s="26"/>
    </row>
    <row r="7" spans="1:13" ht="25" x14ac:dyDescent="0.35">
      <c r="A7" s="14" t="s">
        <v>20</v>
      </c>
      <c r="B7" s="15" t="s">
        <v>43</v>
      </c>
      <c r="C7" s="15" t="s">
        <v>43</v>
      </c>
      <c r="D7" s="15" t="s">
        <v>43</v>
      </c>
      <c r="E7" s="16"/>
      <c r="F7" s="16"/>
      <c r="G7" s="16"/>
      <c r="H7" s="24" t="s">
        <v>44</v>
      </c>
      <c r="I7" s="24" t="s">
        <v>44</v>
      </c>
      <c r="J7" s="24" t="s">
        <v>44</v>
      </c>
      <c r="K7" s="24"/>
      <c r="L7" s="24"/>
      <c r="M7" s="24"/>
    </row>
    <row r="8" spans="1:13" ht="25" x14ac:dyDescent="0.35">
      <c r="A8" s="14" t="s">
        <v>21</v>
      </c>
      <c r="B8" s="15" t="s">
        <v>45</v>
      </c>
      <c r="C8" s="15" t="s">
        <v>45</v>
      </c>
      <c r="D8" s="15" t="s">
        <v>45</v>
      </c>
      <c r="E8" s="16"/>
      <c r="F8" s="16"/>
      <c r="G8" s="16"/>
      <c r="H8" s="16" t="s">
        <v>46</v>
      </c>
      <c r="I8" s="16" t="s">
        <v>46</v>
      </c>
      <c r="J8" s="16" t="s">
        <v>46</v>
      </c>
      <c r="K8" s="16"/>
      <c r="L8" s="16"/>
      <c r="M8" s="16"/>
    </row>
    <row r="9" spans="1:13" ht="25" x14ac:dyDescent="0.35">
      <c r="A9" s="14" t="s">
        <v>22</v>
      </c>
      <c r="B9" s="15" t="s">
        <v>47</v>
      </c>
      <c r="C9" s="15" t="s">
        <v>47</v>
      </c>
      <c r="D9" s="15" t="s">
        <v>47</v>
      </c>
      <c r="E9" s="16" t="s">
        <v>48</v>
      </c>
      <c r="F9" s="16" t="s">
        <v>48</v>
      </c>
      <c r="G9" s="16" t="s">
        <v>48</v>
      </c>
      <c r="H9" s="16" t="s">
        <v>49</v>
      </c>
      <c r="I9" s="16" t="s">
        <v>49</v>
      </c>
      <c r="J9" s="16" t="s">
        <v>49</v>
      </c>
      <c r="K9" s="16" t="s">
        <v>48</v>
      </c>
      <c r="L9" s="16" t="s">
        <v>48</v>
      </c>
      <c r="M9" s="16" t="s">
        <v>48</v>
      </c>
    </row>
    <row r="12" spans="1:13" ht="29" x14ac:dyDescent="0.35">
      <c r="A12" s="13" t="s">
        <v>76</v>
      </c>
      <c r="B12" s="14">
        <v>1</v>
      </c>
      <c r="C12" s="14">
        <v>2</v>
      </c>
      <c r="D12" s="14">
        <v>3</v>
      </c>
      <c r="E12" s="14">
        <v>4</v>
      </c>
      <c r="F12" s="14">
        <v>5</v>
      </c>
      <c r="G12" s="14">
        <v>6</v>
      </c>
      <c r="H12" s="14">
        <v>7</v>
      </c>
      <c r="I12" s="14">
        <v>8</v>
      </c>
      <c r="J12" s="14">
        <v>9</v>
      </c>
      <c r="K12" s="14">
        <v>10</v>
      </c>
      <c r="L12" s="14">
        <v>11</v>
      </c>
      <c r="M12" s="14">
        <v>12</v>
      </c>
    </row>
    <row r="13" spans="1:13" ht="37.5" x14ac:dyDescent="0.35">
      <c r="A13" s="14" t="s">
        <v>15</v>
      </c>
      <c r="B13" s="15" t="s">
        <v>53</v>
      </c>
      <c r="C13" s="15" t="s">
        <v>53</v>
      </c>
      <c r="D13" s="15" t="s">
        <v>53</v>
      </c>
      <c r="E13" s="16" t="s">
        <v>61</v>
      </c>
      <c r="F13" s="16" t="s">
        <v>61</v>
      </c>
      <c r="G13" s="16" t="s">
        <v>61</v>
      </c>
      <c r="H13" s="16" t="s">
        <v>65</v>
      </c>
      <c r="I13" s="16" t="s">
        <v>65</v>
      </c>
      <c r="J13" s="16" t="s">
        <v>65</v>
      </c>
      <c r="K13" s="16" t="s">
        <v>69</v>
      </c>
      <c r="L13" s="16" t="s">
        <v>69</v>
      </c>
      <c r="M13" s="16" t="s">
        <v>69</v>
      </c>
    </row>
    <row r="14" spans="1:13" ht="37.5" x14ac:dyDescent="0.35">
      <c r="A14" s="14" t="s">
        <v>16</v>
      </c>
      <c r="B14" s="15" t="s">
        <v>54</v>
      </c>
      <c r="C14" s="15" t="s">
        <v>54</v>
      </c>
      <c r="D14" s="15" t="s">
        <v>54</v>
      </c>
      <c r="E14" s="16" t="s">
        <v>62</v>
      </c>
      <c r="F14" s="16" t="s">
        <v>62</v>
      </c>
      <c r="G14" s="16" t="s">
        <v>62</v>
      </c>
      <c r="H14" s="16" t="s">
        <v>66</v>
      </c>
      <c r="I14" s="16" t="s">
        <v>66</v>
      </c>
      <c r="J14" s="16" t="s">
        <v>66</v>
      </c>
      <c r="K14" s="16" t="s">
        <v>70</v>
      </c>
      <c r="L14" s="16" t="s">
        <v>70</v>
      </c>
      <c r="M14" s="16" t="s">
        <v>70</v>
      </c>
    </row>
    <row r="15" spans="1:13" ht="37.5" x14ac:dyDescent="0.35">
      <c r="A15" s="14" t="s">
        <v>17</v>
      </c>
      <c r="B15" s="15" t="s">
        <v>55</v>
      </c>
      <c r="C15" s="15" t="s">
        <v>55</v>
      </c>
      <c r="D15" s="15" t="s">
        <v>55</v>
      </c>
      <c r="E15" s="16" t="s">
        <v>63</v>
      </c>
      <c r="F15" s="16" t="s">
        <v>63</v>
      </c>
      <c r="G15" s="16" t="s">
        <v>63</v>
      </c>
      <c r="H15" s="16" t="s">
        <v>67</v>
      </c>
      <c r="I15" s="16" t="s">
        <v>67</v>
      </c>
      <c r="J15" s="16" t="s">
        <v>67</v>
      </c>
      <c r="K15" s="16" t="s">
        <v>71</v>
      </c>
      <c r="L15" s="16" t="s">
        <v>71</v>
      </c>
      <c r="M15" s="16" t="s">
        <v>71</v>
      </c>
    </row>
    <row r="16" spans="1:13" ht="37.5" x14ac:dyDescent="0.35">
      <c r="A16" s="14" t="s">
        <v>18</v>
      </c>
      <c r="B16" s="15" t="s">
        <v>56</v>
      </c>
      <c r="C16" s="15" t="s">
        <v>56</v>
      </c>
      <c r="D16" s="15" t="s">
        <v>56</v>
      </c>
      <c r="E16" s="16" t="s">
        <v>73</v>
      </c>
      <c r="F16" s="16" t="s">
        <v>73</v>
      </c>
      <c r="G16" s="16" t="s">
        <v>73</v>
      </c>
      <c r="H16" s="16" t="s">
        <v>68</v>
      </c>
      <c r="I16" s="16" t="s">
        <v>68</v>
      </c>
      <c r="J16" s="16" t="s">
        <v>68</v>
      </c>
      <c r="K16" s="16" t="s">
        <v>72</v>
      </c>
      <c r="L16" s="16" t="s">
        <v>72</v>
      </c>
      <c r="M16" s="16" t="s">
        <v>72</v>
      </c>
    </row>
    <row r="17" spans="1:13" ht="37.5" x14ac:dyDescent="0.35">
      <c r="A17" s="14" t="s">
        <v>19</v>
      </c>
      <c r="B17" s="15" t="s">
        <v>57</v>
      </c>
      <c r="C17" s="15" t="s">
        <v>57</v>
      </c>
      <c r="D17" s="15" t="s">
        <v>57</v>
      </c>
      <c r="E17" s="16" t="s">
        <v>64</v>
      </c>
      <c r="F17" s="16" t="s">
        <v>64</v>
      </c>
      <c r="G17" s="16" t="s">
        <v>64</v>
      </c>
      <c r="H17" s="16"/>
      <c r="I17" s="16"/>
      <c r="J17" s="16"/>
      <c r="K17" s="16"/>
      <c r="L17" s="16"/>
      <c r="M17" s="16"/>
    </row>
    <row r="18" spans="1:13" ht="37.5" x14ac:dyDescent="0.35">
      <c r="A18" s="14" t="s">
        <v>20</v>
      </c>
      <c r="B18" s="15" t="s">
        <v>58</v>
      </c>
      <c r="C18" s="15" t="s">
        <v>58</v>
      </c>
      <c r="D18" s="15" t="s">
        <v>58</v>
      </c>
      <c r="E18" s="16" t="s">
        <v>74</v>
      </c>
      <c r="F18" s="16" t="s">
        <v>74</v>
      </c>
      <c r="G18" s="16" t="s">
        <v>74</v>
      </c>
      <c r="H18" s="16"/>
      <c r="I18" s="16"/>
      <c r="J18" s="16"/>
      <c r="K18" s="16"/>
      <c r="L18" s="16"/>
      <c r="M18" s="16"/>
    </row>
    <row r="19" spans="1:13" ht="25" x14ac:dyDescent="0.35">
      <c r="A19" s="14" t="s">
        <v>21</v>
      </c>
      <c r="B19" s="15" t="s">
        <v>59</v>
      </c>
      <c r="C19" s="15" t="s">
        <v>59</v>
      </c>
      <c r="D19" s="15" t="s">
        <v>59</v>
      </c>
      <c r="E19" s="16"/>
      <c r="F19" s="16"/>
      <c r="G19" s="16"/>
      <c r="H19" s="16"/>
      <c r="I19" s="16"/>
      <c r="J19" s="16"/>
      <c r="K19" s="16"/>
      <c r="L19" s="16"/>
      <c r="M19" s="16"/>
    </row>
    <row r="20" spans="1:13" ht="37.5" x14ac:dyDescent="0.35">
      <c r="A20" s="14" t="s">
        <v>22</v>
      </c>
      <c r="B20" s="15" t="s">
        <v>60</v>
      </c>
      <c r="C20" s="15" t="s">
        <v>60</v>
      </c>
      <c r="D20" s="15" t="s">
        <v>60</v>
      </c>
      <c r="E20" s="16"/>
      <c r="F20" s="16"/>
      <c r="G20" s="16"/>
      <c r="H20" s="16"/>
      <c r="I20" s="16"/>
      <c r="J20" s="16"/>
      <c r="K20" s="16"/>
      <c r="L20" s="16"/>
      <c r="M2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STDs Chk</vt:lpstr>
      <vt:lpstr>Plate Paste</vt:lpstr>
      <vt:lpstr>STD export</vt:lpstr>
      <vt:lpstr>Sample Export</vt:lpstr>
      <vt:lpstr>ex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Montgomery, Ashleigh</cp:lastModifiedBy>
  <dcterms:created xsi:type="dcterms:W3CDTF">2023-06-06T15:16:21Z</dcterms:created>
  <dcterms:modified xsi:type="dcterms:W3CDTF">2024-09-18T17:03:11Z</dcterms:modified>
</cp:coreProperties>
</file>