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amontg_udel_edu/Documents/PhD/Data/TEMPEST/Porewater/"/>
    </mc:Choice>
  </mc:AlternateContent>
  <xr:revisionPtr revIDLastSave="5" documentId="13_ncr:1_{04CD8E73-0D55-4AE3-98F3-584FBC35354C}" xr6:coauthVersionLast="47" xr6:coauthVersionMax="47" xr10:uidLastSave="{9F297FB8-7A3C-456F-8FDE-A5A52B7BCD8D}"/>
  <bookViews>
    <workbookView xWindow="-110" yWindow="-110" windowWidth="19420" windowHeight="10300" xr2:uid="{E04FD27E-0F25-4B00-BF29-C78C0429E618}"/>
  </bookViews>
  <sheets>
    <sheet name="STDs Check" sheetId="1" r:id="rId1"/>
    <sheet name="Plate Paste" sheetId="2" r:id="rId2"/>
    <sheet name="STDs Export" sheetId="3" r:id="rId3"/>
    <sheet name="Samples_1" sheetId="4" r:id="rId4"/>
    <sheet name="Source" sheetId="5" r:id="rId5"/>
    <sheet name="Samples_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B3" i="1"/>
  <c r="O26" i="1"/>
  <c r="B12" i="1"/>
  <c r="R35" i="1"/>
  <c r="Q35" i="1"/>
  <c r="P35" i="1"/>
  <c r="O29" i="1"/>
  <c r="B29" i="1"/>
  <c r="B28" i="1"/>
  <c r="O27" i="1"/>
  <c r="B27" i="1"/>
  <c r="B26" i="1"/>
  <c r="O25" i="1"/>
  <c r="B25" i="1"/>
  <c r="O24" i="1"/>
  <c r="B24" i="1"/>
  <c r="O23" i="1"/>
  <c r="B23" i="1"/>
  <c r="O22" i="1"/>
  <c r="B22" i="1"/>
  <c r="O21" i="1"/>
  <c r="B21" i="1"/>
  <c r="O20" i="1"/>
  <c r="B20" i="1"/>
  <c r="O19" i="1"/>
  <c r="B19" i="1"/>
  <c r="O18" i="1"/>
  <c r="B18" i="1"/>
  <c r="O14" i="1"/>
  <c r="B14" i="1"/>
  <c r="O13" i="1"/>
  <c r="B13" i="1"/>
  <c r="O12" i="1"/>
  <c r="O11" i="1"/>
  <c r="B11" i="1"/>
  <c r="O10" i="1"/>
  <c r="B10" i="1"/>
  <c r="O9" i="1"/>
  <c r="B9" i="1"/>
  <c r="O8" i="1"/>
  <c r="B8" i="1"/>
  <c r="O7" i="1"/>
  <c r="B7" i="1"/>
  <c r="O6" i="1"/>
  <c r="B6" i="1"/>
  <c r="O5" i="1"/>
  <c r="B5" i="1"/>
  <c r="O4" i="1"/>
  <c r="B4" i="1"/>
  <c r="O3" i="1"/>
</calcChain>
</file>

<file path=xl/sharedStrings.xml><?xml version="1.0" encoding="utf-8"?>
<sst xmlns="http://schemas.openxmlformats.org/spreadsheetml/2006/main" count="616" uniqueCount="116">
  <si>
    <t xml:space="preserve">First Run of the Plate (Fe2 read) </t>
  </si>
  <si>
    <t xml:space="preserve">Second Run of the Plate (Fe Total read) </t>
  </si>
  <si>
    <t>FeII Stds</t>
  </si>
  <si>
    <t>Avg Abs</t>
  </si>
  <si>
    <t>Abs1</t>
  </si>
  <si>
    <t>Abs2</t>
  </si>
  <si>
    <t>As3</t>
  </si>
  <si>
    <t>FeIII Stds</t>
  </si>
  <si>
    <t>Red. Eff</t>
  </si>
  <si>
    <t>60 uM fe(III)</t>
  </si>
  <si>
    <t xml:space="preserve">&gt;85% </t>
  </si>
  <si>
    <t>E1</t>
  </si>
  <si>
    <t>E2</t>
  </si>
  <si>
    <t>E3</t>
  </si>
  <si>
    <t>A</t>
  </si>
  <si>
    <t>B</t>
  </si>
  <si>
    <t>NA</t>
  </si>
  <si>
    <t>C</t>
  </si>
  <si>
    <t>D</t>
  </si>
  <si>
    <t>E</t>
  </si>
  <si>
    <t>F</t>
  </si>
  <si>
    <t>G</t>
  </si>
  <si>
    <t>H</t>
  </si>
  <si>
    <t>IDs</t>
  </si>
  <si>
    <t>Fe_2 60uM</t>
  </si>
  <si>
    <t>Fe_2 100 uM</t>
  </si>
  <si>
    <t>Fe_3 60 uM</t>
  </si>
  <si>
    <t>Fe_3 100 uM</t>
  </si>
  <si>
    <t>Fe_2 45 uM</t>
  </si>
  <si>
    <t>Fe_2 250 uM</t>
  </si>
  <si>
    <t>Fe_3 45 uM</t>
  </si>
  <si>
    <t>Fe_3 250 uM</t>
  </si>
  <si>
    <t>Fe_2 30 uM</t>
  </si>
  <si>
    <t>Fe_2 500 uM</t>
  </si>
  <si>
    <t>Fe_3 30 uM</t>
  </si>
  <si>
    <t>Fe_3 500 uM</t>
  </si>
  <si>
    <t>Fe_2 18 uM</t>
  </si>
  <si>
    <t>Fe_3 18 uM</t>
  </si>
  <si>
    <t>Fe_3 9 uM</t>
  </si>
  <si>
    <t>Fe_2 9 uM</t>
  </si>
  <si>
    <t>Fe_2 6 uM</t>
  </si>
  <si>
    <t>Fe_3 6 uM</t>
  </si>
  <si>
    <t>Fe_2 3 uM</t>
  </si>
  <si>
    <t>Fe_3 3 uM</t>
  </si>
  <si>
    <t>Fe_2 0.6 uM</t>
  </si>
  <si>
    <t>Blank</t>
  </si>
  <si>
    <t>Fe_3 0.6 uM</t>
  </si>
  <si>
    <t>Dilutions</t>
  </si>
  <si>
    <t>Conc_uM</t>
  </si>
  <si>
    <t>Stds Read1</t>
  </si>
  <si>
    <t>Samples1 read1</t>
  </si>
  <si>
    <t>STds Read2</t>
  </si>
  <si>
    <t>Samples1 Read2</t>
  </si>
  <si>
    <t>Samples2 Read2</t>
  </si>
  <si>
    <t>Samples2 Read1</t>
  </si>
  <si>
    <t>Samples3 Read1</t>
  </si>
  <si>
    <t>Samples3 Read2</t>
  </si>
  <si>
    <t>Fe(II) A</t>
  </si>
  <si>
    <t>Fe(II) E</t>
  </si>
  <si>
    <t>Fe(II) H</t>
  </si>
  <si>
    <t>0.5 M HCl</t>
  </si>
  <si>
    <t>Fe(III) A</t>
  </si>
  <si>
    <t>Fe(III) E</t>
  </si>
  <si>
    <t>Fe(III) H</t>
  </si>
  <si>
    <t>FW_B4_20230606</t>
  </si>
  <si>
    <t>FW_C3_20230606</t>
  </si>
  <si>
    <t>FW_D5_20230606</t>
  </si>
  <si>
    <t>FW_F4_20230606</t>
  </si>
  <si>
    <t>FW_H3_20230606</t>
  </si>
  <si>
    <t>FW_I5_20230606</t>
  </si>
  <si>
    <t>FW_H6_20230606</t>
  </si>
  <si>
    <t>SW_B4_20230606</t>
  </si>
  <si>
    <t>SW_C3_20230606</t>
  </si>
  <si>
    <t>SW_C6_20230606</t>
  </si>
  <si>
    <t>SW_D5_20230606</t>
  </si>
  <si>
    <t>SW_E3_20230606</t>
  </si>
  <si>
    <t>SW_F4_20230606</t>
  </si>
  <si>
    <t>SW_F6_20230606</t>
  </si>
  <si>
    <t>SW_D5_20230606_dup</t>
  </si>
  <si>
    <t>SW_E3_20230606_spk</t>
  </si>
  <si>
    <t>SW_H3_20230606</t>
  </si>
  <si>
    <t>SW_H6_20230606</t>
  </si>
  <si>
    <t>SW_I5_20230606</t>
  </si>
  <si>
    <t>FW_SOURCE_20230606_0718</t>
  </si>
  <si>
    <t>FW_SOURCE_20230606_1326</t>
  </si>
  <si>
    <t>FW_SOURCE_20230606_1511</t>
  </si>
  <si>
    <t>SW_SOURCE_20230606_0709</t>
  </si>
  <si>
    <t>SW_SOURCE_20230606_1301</t>
  </si>
  <si>
    <t>SW_SOURCE_20230606_1502</t>
  </si>
  <si>
    <t>SW_SOURCE_20230606_1301_dup</t>
  </si>
  <si>
    <t>SW_SOURCE_20230606_1502_spk</t>
  </si>
  <si>
    <t>ESTUARY_20230606_0632</t>
  </si>
  <si>
    <t>ESTUARY_20230606_1236</t>
  </si>
  <si>
    <t>ESTUARY_20230606_1524</t>
  </si>
  <si>
    <t>FW_B4_20230607_0800</t>
  </si>
  <si>
    <t>FW_C3_20230607_0800</t>
  </si>
  <si>
    <t>FW_D5_20230607_0800</t>
  </si>
  <si>
    <t>FW_E3_20230607_0800</t>
  </si>
  <si>
    <t>FW_F4_20230607_0800</t>
  </si>
  <si>
    <t>FW_H3_20230607_0800</t>
  </si>
  <si>
    <t>FW_H6_20230607_0800</t>
  </si>
  <si>
    <t>FW_I5_20230607_0800</t>
  </si>
  <si>
    <t>SW_B4_20230607_0800</t>
  </si>
  <si>
    <t>SW_C3_20230607_0800</t>
  </si>
  <si>
    <t>SW_D5_20230607_0800</t>
  </si>
  <si>
    <t>SW_E3_20230607_0800</t>
  </si>
  <si>
    <t>SW_H3_20230607_0800</t>
  </si>
  <si>
    <t>SW_H6_20230607_0800</t>
  </si>
  <si>
    <t>SW_I5_20230607_0800</t>
  </si>
  <si>
    <t>SW_C6_20230607_0800</t>
  </si>
  <si>
    <t>SW_C6_20230607_0800_dup</t>
  </si>
  <si>
    <t>SW_D5_20230607_0800_spk</t>
  </si>
  <si>
    <t>SW_F6_20230607_0800</t>
  </si>
  <si>
    <t>SW_SOURCE_20230607_0621</t>
  </si>
  <si>
    <t>FW_SOURCE_20230607_0611</t>
  </si>
  <si>
    <t>SW_ESTUARY_20230607_0710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</si>
</sst>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A78B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1" fillId="0" borderId="0" xfId="0" applyFont="1"/>
    <xf numFmtId="0" fontId="2" fillId="5" borderId="0" xfId="0" applyFont="1" applyFill="1" applyAlignment="1">
      <alignment horizontal="center" vertical="center" wrapText="1"/>
    </xf>
    <xf numFmtId="0" fontId="0" fillId="5" borderId="0" xfId="0" applyFill="1"/>
    <xf numFmtId="2" fontId="0" fillId="6" borderId="0" xfId="0" applyNumberFormat="1" applyFill="1"/>
    <xf numFmtId="0" fontId="0" fillId="7" borderId="1" xfId="0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1" fontId="3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0" fillId="0" borderId="6" xfId="0" applyBorder="1"/>
    <xf numFmtId="1" fontId="3" fillId="0" borderId="7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1" fontId="3" fillId="0" borderId="9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Check'!$B$2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2173664538358E-2"/>
                  <c:y val="0.356981602611611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Check'!$A$3:$A$10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'STDs Check'!$B$3:$B$10</c:f>
              <c:numCache>
                <c:formatCode>General</c:formatCode>
                <c:ptCount val="8"/>
                <c:pt idx="0">
                  <c:v>0.19033333333333333</c:v>
                </c:pt>
                <c:pt idx="1">
                  <c:v>0.1496666666666667</c:v>
                </c:pt>
                <c:pt idx="2">
                  <c:v>0.11366666666666665</c:v>
                </c:pt>
                <c:pt idx="3">
                  <c:v>7.9666666666666663E-2</c:v>
                </c:pt>
                <c:pt idx="4">
                  <c:v>6.0666666666666667E-2</c:v>
                </c:pt>
                <c:pt idx="5">
                  <c:v>5.0666666666666665E-2</c:v>
                </c:pt>
                <c:pt idx="6">
                  <c:v>4.3666666666666666E-2</c:v>
                </c:pt>
                <c:pt idx="7">
                  <c:v>3.833333333333333E-2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9-4B97-B3CA-48E1F57A8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772336"/>
        <c:axId val="517768728"/>
      </c:scatterChart>
      <c:valAx>
        <c:axId val="51777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68728"/>
        <c:crosses val="autoZero"/>
        <c:crossBetween val="midCat"/>
      </c:valAx>
      <c:valAx>
        <c:axId val="51776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77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Check'!$B$17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'STDs Check'!$A$18:$A$29</c:f>
              <c:numCache>
                <c:formatCode>General</c:formatCode>
                <c:ptCount val="12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  <c:pt idx="9">
                  <c:v>250</c:v>
                </c:pt>
                <c:pt idx="10">
                  <c:v>500</c:v>
                </c:pt>
                <c:pt idx="11">
                  <c:v>0</c:v>
                </c:pt>
              </c:numCache>
            </c:numRef>
          </c:xVal>
          <c:yVal>
            <c:numRef>
              <c:f>'STDs Check'!$B$18:$B$29</c:f>
              <c:numCache>
                <c:formatCode>General</c:formatCode>
                <c:ptCount val="12"/>
                <c:pt idx="0">
                  <c:v>4.0666666666666663E-2</c:v>
                </c:pt>
                <c:pt idx="1">
                  <c:v>4.0333333333333332E-2</c:v>
                </c:pt>
                <c:pt idx="2">
                  <c:v>3.9666666666666663E-2</c:v>
                </c:pt>
                <c:pt idx="3">
                  <c:v>3.9E-2</c:v>
                </c:pt>
                <c:pt idx="4">
                  <c:v>3.833333333333333E-2</c:v>
                </c:pt>
                <c:pt idx="5">
                  <c:v>3.833333333333333E-2</c:v>
                </c:pt>
                <c:pt idx="6">
                  <c:v>3.8666666666666662E-2</c:v>
                </c:pt>
                <c:pt idx="7">
                  <c:v>3.833333333333333E-2</c:v>
                </c:pt>
                <c:pt idx="8">
                  <c:v>4.2333333333333334E-2</c:v>
                </c:pt>
                <c:pt idx="9">
                  <c:v>4.4333333333333336E-2</c:v>
                </c:pt>
                <c:pt idx="10">
                  <c:v>4.5000000000000005E-2</c:v>
                </c:pt>
                <c:pt idx="11">
                  <c:v>3.7333333333333329E-2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CA-407C-947F-C19722059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77192"/>
        <c:axId val="458077848"/>
      </c:scatterChart>
      <c:valAx>
        <c:axId val="45807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77848"/>
        <c:crosses val="autoZero"/>
        <c:crossBetween val="midCat"/>
      </c:valAx>
      <c:valAx>
        <c:axId val="458077848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77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Check'!$N$3:$N$10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'STDs Check'!$O$3:$O$10</c:f>
              <c:numCache>
                <c:formatCode>General</c:formatCode>
                <c:ptCount val="8"/>
                <c:pt idx="0">
                  <c:v>0.3116666666666667</c:v>
                </c:pt>
                <c:pt idx="1">
                  <c:v>0.23799999999999999</c:v>
                </c:pt>
                <c:pt idx="2">
                  <c:v>0.17700000000000002</c:v>
                </c:pt>
                <c:pt idx="3">
                  <c:v>0.11966666666666666</c:v>
                </c:pt>
                <c:pt idx="4">
                  <c:v>7.9000000000000001E-2</c:v>
                </c:pt>
                <c:pt idx="5">
                  <c:v>6.3E-2</c:v>
                </c:pt>
                <c:pt idx="6">
                  <c:v>5.0333333333333341E-2</c:v>
                </c:pt>
                <c:pt idx="7">
                  <c:v>4.1333333333333333E-2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C-4729-B372-DFD5FC74B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02088"/>
        <c:axId val="113803072"/>
      </c:scatterChart>
      <c:valAx>
        <c:axId val="11380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03072"/>
        <c:crosses val="autoZero"/>
        <c:crossBetween val="midCat"/>
      </c:valAx>
      <c:valAx>
        <c:axId val="11380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0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'STDs Check'!$O$17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223121699951441E-2"/>
                  <c:y val="0.346107540873340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Check'!$N$18:$N$26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'STDs Check'!$O$18:$O$26</c:f>
              <c:numCache>
                <c:formatCode>General</c:formatCode>
                <c:ptCount val="9"/>
                <c:pt idx="0">
                  <c:v>0.16933333333333334</c:v>
                </c:pt>
                <c:pt idx="1">
                  <c:v>0.14166666666666669</c:v>
                </c:pt>
                <c:pt idx="2">
                  <c:v>0.10633333333333334</c:v>
                </c:pt>
                <c:pt idx="3">
                  <c:v>8.5666666666666669E-2</c:v>
                </c:pt>
                <c:pt idx="4">
                  <c:v>5.9666666666666666E-2</c:v>
                </c:pt>
                <c:pt idx="5">
                  <c:v>5.7333333333333326E-2</c:v>
                </c:pt>
                <c:pt idx="6">
                  <c:v>4.6666666666666669E-2</c:v>
                </c:pt>
                <c:pt idx="7">
                  <c:v>3.9666666666666663E-2</c:v>
                </c:pt>
                <c:pt idx="8">
                  <c:v>0.23566666666666666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4-4E91-A77D-87BA7D115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65048"/>
        <c:axId val="516468328"/>
      </c:scatterChart>
      <c:valAx>
        <c:axId val="51646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68328"/>
        <c:crosses val="autoZero"/>
        <c:crossBetween val="midCat"/>
      </c:valAx>
      <c:valAx>
        <c:axId val="51646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65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2</xdr:row>
      <xdr:rowOff>147637</xdr:rowOff>
    </xdr:from>
    <xdr:to>
      <xdr:col>10</xdr:col>
      <xdr:colOff>552450</xdr:colOff>
      <xdr:row>14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705940-5455-2A3E-A236-00E37705A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271462</xdr:colOff>
      <xdr:row>17</xdr:row>
      <xdr:rowOff>4762</xdr:rowOff>
    </xdr:from>
    <xdr:to>
      <xdr:col>11</xdr:col>
      <xdr:colOff>142875</xdr:colOff>
      <xdr:row>28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A7BCDA-9950-57E3-6D26-A24E048AA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276225</xdr:colOff>
      <xdr:row>2</xdr:row>
      <xdr:rowOff>138112</xdr:rowOff>
    </xdr:from>
    <xdr:to>
      <xdr:col>23</xdr:col>
      <xdr:colOff>600075</xdr:colOff>
      <xdr:row>13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8898C9-F198-9EE1-9B24-73DBC69E2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161925</xdr:colOff>
      <xdr:row>16</xdr:row>
      <xdr:rowOff>128587</xdr:rowOff>
    </xdr:from>
    <xdr:to>
      <xdr:col>24</xdr:col>
      <xdr:colOff>571500</xdr:colOff>
      <xdr:row>28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F01BC8-D82A-5FD3-CA5F-D1FABCCAC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143F-3503-4524-BD46-C65286861972}">
  <dimension ref="A1:Y35"/>
  <sheetViews>
    <sheetView tabSelected="1" topLeftCell="K16" zoomScale="120" zoomScaleNormal="120" workbookViewId="0">
      <selection activeCell="O29" sqref="O29"/>
    </sheetView>
  </sheetViews>
  <sheetFormatPr defaultRowHeight="14.5" x14ac:dyDescent="0.35"/>
  <cols>
    <col min="13" max="13" width="5.7265625" style="1" customWidth="1"/>
  </cols>
  <sheetData>
    <row r="1" spans="1:25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N1" s="30" t="s">
        <v>1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</row>
    <row r="3" spans="1:25" x14ac:dyDescent="0.35">
      <c r="A3">
        <v>60</v>
      </c>
      <c r="B3">
        <f>AVERAGE(C3:E3)</f>
        <v>0.19033333333333333</v>
      </c>
      <c r="C3" s="8">
        <v>0.16200000000000001</v>
      </c>
      <c r="D3" s="8">
        <v>0.221</v>
      </c>
      <c r="E3" s="8">
        <v>0.188</v>
      </c>
      <c r="N3">
        <v>60</v>
      </c>
      <c r="O3">
        <f>AVERAGE(P3:R3)</f>
        <v>0.3116666666666667</v>
      </c>
      <c r="P3" s="8">
        <v>0.32500000000000001</v>
      </c>
      <c r="Q3" s="8">
        <v>0.315</v>
      </c>
      <c r="R3" s="8">
        <v>0.29499999999999998</v>
      </c>
    </row>
    <row r="4" spans="1:25" x14ac:dyDescent="0.35">
      <c r="A4">
        <v>45</v>
      </c>
      <c r="B4">
        <f t="shared" ref="B4:B14" si="0">AVERAGE(C4:E4)</f>
        <v>0.1496666666666667</v>
      </c>
      <c r="C4" s="8">
        <v>0.16800000000000001</v>
      </c>
      <c r="D4" s="8">
        <v>0.13900000000000001</v>
      </c>
      <c r="E4" s="8">
        <v>0.14199999999999999</v>
      </c>
      <c r="N4">
        <v>45</v>
      </c>
      <c r="O4">
        <f t="shared" ref="O4:O14" si="1">AVERAGE(P4:R4)</f>
        <v>0.23799999999999999</v>
      </c>
      <c r="P4" s="8">
        <v>0.252</v>
      </c>
      <c r="Q4" s="8">
        <v>0.224</v>
      </c>
      <c r="R4" s="8">
        <v>0.23799999999999999</v>
      </c>
    </row>
    <row r="5" spans="1:25" x14ac:dyDescent="0.35">
      <c r="A5">
        <v>30</v>
      </c>
      <c r="B5">
        <f t="shared" si="0"/>
        <v>0.11366666666666665</v>
      </c>
      <c r="C5" s="8">
        <v>0.11</v>
      </c>
      <c r="D5" s="8">
        <v>0.113</v>
      </c>
      <c r="E5" s="8">
        <v>0.11799999999999999</v>
      </c>
      <c r="N5">
        <v>30</v>
      </c>
      <c r="O5">
        <f t="shared" si="1"/>
        <v>0.17700000000000002</v>
      </c>
      <c r="P5" s="8">
        <v>0.182</v>
      </c>
      <c r="Q5" s="8">
        <v>0.18</v>
      </c>
      <c r="R5" s="8">
        <v>0.16900000000000001</v>
      </c>
    </row>
    <row r="6" spans="1:25" x14ac:dyDescent="0.35">
      <c r="A6">
        <v>18</v>
      </c>
      <c r="B6">
        <f t="shared" si="0"/>
        <v>7.9666666666666663E-2</v>
      </c>
      <c r="C6" s="8">
        <v>7.4999999999999997E-2</v>
      </c>
      <c r="D6" s="8">
        <v>8.8999999999999996E-2</v>
      </c>
      <c r="E6" s="8">
        <v>7.4999999999999997E-2</v>
      </c>
      <c r="N6">
        <v>18</v>
      </c>
      <c r="O6">
        <f t="shared" si="1"/>
        <v>0.11966666666666666</v>
      </c>
      <c r="P6" s="8">
        <v>0.12</v>
      </c>
      <c r="Q6" s="8">
        <v>0.124</v>
      </c>
      <c r="R6" s="8">
        <v>0.115</v>
      </c>
    </row>
    <row r="7" spans="1:25" x14ac:dyDescent="0.35">
      <c r="A7">
        <v>9</v>
      </c>
      <c r="B7">
        <f t="shared" si="0"/>
        <v>6.0666666666666667E-2</v>
      </c>
      <c r="C7" s="8">
        <v>5.8999999999999997E-2</v>
      </c>
      <c r="D7" s="8">
        <v>6.4000000000000001E-2</v>
      </c>
      <c r="E7" s="8">
        <v>5.8999999999999997E-2</v>
      </c>
      <c r="N7">
        <v>9</v>
      </c>
      <c r="O7">
        <f t="shared" si="1"/>
        <v>7.9000000000000001E-2</v>
      </c>
      <c r="P7" s="8">
        <v>7.9000000000000001E-2</v>
      </c>
      <c r="Q7" s="8">
        <v>8.5000000000000006E-2</v>
      </c>
      <c r="R7" s="8">
        <v>7.2999999999999995E-2</v>
      </c>
    </row>
    <row r="8" spans="1:25" x14ac:dyDescent="0.35">
      <c r="A8">
        <v>6</v>
      </c>
      <c r="B8">
        <f t="shared" si="0"/>
        <v>5.0666666666666665E-2</v>
      </c>
      <c r="C8" s="8">
        <v>5.0999999999999997E-2</v>
      </c>
      <c r="D8" s="8">
        <v>4.9000000000000002E-2</v>
      </c>
      <c r="E8" s="8">
        <v>5.1999999999999998E-2</v>
      </c>
      <c r="N8">
        <v>6</v>
      </c>
      <c r="O8">
        <f t="shared" si="1"/>
        <v>6.3E-2</v>
      </c>
      <c r="P8" s="8">
        <v>6.5000000000000002E-2</v>
      </c>
      <c r="Q8" s="8">
        <v>6.6000000000000003E-2</v>
      </c>
      <c r="R8" s="8">
        <v>5.8000000000000003E-2</v>
      </c>
    </row>
    <row r="9" spans="1:25" x14ac:dyDescent="0.35">
      <c r="A9">
        <v>3</v>
      </c>
      <c r="B9">
        <f t="shared" si="0"/>
        <v>4.3666666666666666E-2</v>
      </c>
      <c r="C9" s="8">
        <v>4.3999999999999997E-2</v>
      </c>
      <c r="D9" s="8">
        <v>4.3999999999999997E-2</v>
      </c>
      <c r="E9" s="8">
        <v>4.2999999999999997E-2</v>
      </c>
      <c r="N9">
        <v>3</v>
      </c>
      <c r="O9">
        <f t="shared" si="1"/>
        <v>5.0333333333333341E-2</v>
      </c>
      <c r="P9" s="8">
        <v>0.05</v>
      </c>
      <c r="Q9" s="8">
        <v>5.0999999999999997E-2</v>
      </c>
      <c r="R9" s="8">
        <v>0.05</v>
      </c>
    </row>
    <row r="10" spans="1:25" x14ac:dyDescent="0.35">
      <c r="A10">
        <v>0.6</v>
      </c>
      <c r="B10">
        <f t="shared" si="0"/>
        <v>3.833333333333333E-2</v>
      </c>
      <c r="C10" s="8">
        <v>3.7999999999999999E-2</v>
      </c>
      <c r="D10" s="8">
        <v>3.9E-2</v>
      </c>
      <c r="E10" s="8">
        <v>3.7999999999999999E-2</v>
      </c>
      <c r="N10">
        <v>0.6</v>
      </c>
      <c r="O10">
        <f t="shared" si="1"/>
        <v>4.1333333333333333E-2</v>
      </c>
      <c r="P10" s="8">
        <v>4.2000000000000003E-2</v>
      </c>
      <c r="Q10" s="8">
        <v>4.2000000000000003E-2</v>
      </c>
      <c r="R10" s="8">
        <v>0.04</v>
      </c>
    </row>
    <row r="11" spans="1:25" x14ac:dyDescent="0.35">
      <c r="A11">
        <v>100</v>
      </c>
      <c r="B11">
        <f t="shared" si="0"/>
        <v>0.255</v>
      </c>
      <c r="C11" s="8">
        <v>0.24299999999999999</v>
      </c>
      <c r="D11" s="8">
        <v>0.26100000000000001</v>
      </c>
      <c r="E11" s="8">
        <v>0.26100000000000001</v>
      </c>
      <c r="N11">
        <v>100</v>
      </c>
      <c r="O11">
        <f t="shared" si="1"/>
        <v>0.44466666666666671</v>
      </c>
      <c r="P11" s="8">
        <v>0.48399999999999999</v>
      </c>
      <c r="Q11" s="8">
        <v>0.433</v>
      </c>
      <c r="R11" s="8">
        <v>0.41699999999999998</v>
      </c>
    </row>
    <row r="12" spans="1:25" x14ac:dyDescent="0.35">
      <c r="A12">
        <v>250</v>
      </c>
      <c r="B12">
        <f>AVERAGE(C12:E12)</f>
        <v>0.57200000000000006</v>
      </c>
      <c r="C12" s="8">
        <v>0.55500000000000005</v>
      </c>
      <c r="D12" s="28">
        <v>0.53900000000000003</v>
      </c>
      <c r="E12" s="8">
        <v>0.622</v>
      </c>
      <c r="N12">
        <v>250</v>
      </c>
      <c r="O12">
        <f>AVERAGE(P12:R12)</f>
        <v>0.73066666666666658</v>
      </c>
      <c r="P12" s="8">
        <v>0.71699999999999997</v>
      </c>
      <c r="Q12" s="8">
        <v>0.63500000000000001</v>
      </c>
      <c r="R12" s="8">
        <v>0.84</v>
      </c>
    </row>
    <row r="13" spans="1:25" x14ac:dyDescent="0.35">
      <c r="A13">
        <v>500</v>
      </c>
      <c r="B13">
        <f t="shared" si="0"/>
        <v>1.0106666666666666</v>
      </c>
      <c r="C13" s="8">
        <v>0.98399999999999999</v>
      </c>
      <c r="D13" s="8">
        <v>1.097</v>
      </c>
      <c r="E13" s="8">
        <v>0.95099999999999996</v>
      </c>
      <c r="N13">
        <v>500</v>
      </c>
      <c r="O13">
        <f t="shared" si="1"/>
        <v>1.0513333333333332</v>
      </c>
      <c r="P13" s="8">
        <v>1.0469999999999999</v>
      </c>
      <c r="Q13" s="8">
        <v>1.139</v>
      </c>
      <c r="R13" s="8">
        <v>0.96799999999999997</v>
      </c>
    </row>
    <row r="14" spans="1:25" x14ac:dyDescent="0.35">
      <c r="A14">
        <v>0</v>
      </c>
      <c r="B14">
        <f t="shared" si="0"/>
        <v>3.7333333333333329E-2</v>
      </c>
      <c r="C14" s="8">
        <v>3.6999999999999998E-2</v>
      </c>
      <c r="D14" s="8">
        <v>3.7999999999999999E-2</v>
      </c>
      <c r="E14" s="8">
        <v>3.6999999999999998E-2</v>
      </c>
      <c r="N14">
        <v>0</v>
      </c>
      <c r="O14">
        <f t="shared" si="1"/>
        <v>3.7999999999999999E-2</v>
      </c>
      <c r="P14" s="8">
        <v>3.7999999999999999E-2</v>
      </c>
      <c r="Q14" s="8">
        <v>3.7999999999999999E-2</v>
      </c>
      <c r="R14" s="8">
        <v>3.7999999999999999E-2</v>
      </c>
    </row>
    <row r="17" spans="1:18" x14ac:dyDescent="0.35">
      <c r="A17" s="2" t="s">
        <v>7</v>
      </c>
      <c r="B17" s="2" t="s">
        <v>3</v>
      </c>
      <c r="C17" s="2" t="s">
        <v>4</v>
      </c>
      <c r="D17" s="2" t="s">
        <v>5</v>
      </c>
      <c r="E17" s="2" t="s">
        <v>6</v>
      </c>
      <c r="N17" s="2" t="s">
        <v>7</v>
      </c>
      <c r="O17" s="2" t="s">
        <v>3</v>
      </c>
      <c r="P17" s="2" t="s">
        <v>4</v>
      </c>
      <c r="Q17" s="2" t="s">
        <v>5</v>
      </c>
      <c r="R17" s="2" t="s">
        <v>6</v>
      </c>
    </row>
    <row r="18" spans="1:18" x14ac:dyDescent="0.35">
      <c r="A18">
        <v>60</v>
      </c>
      <c r="B18">
        <f>AVERAGE(C18:E18)</f>
        <v>4.0666666666666663E-2</v>
      </c>
      <c r="C18" s="8">
        <v>4.1000000000000002E-2</v>
      </c>
      <c r="D18" s="8">
        <v>0.04</v>
      </c>
      <c r="E18" s="8">
        <v>4.1000000000000002E-2</v>
      </c>
      <c r="N18">
        <v>60</v>
      </c>
      <c r="O18">
        <f>AVERAGE(P18:R18)</f>
        <v>0.16933333333333334</v>
      </c>
      <c r="P18" s="8">
        <v>0.16700000000000001</v>
      </c>
      <c r="Q18" s="8">
        <v>0.17199999999999999</v>
      </c>
      <c r="R18" s="8">
        <v>0.16900000000000001</v>
      </c>
    </row>
    <row r="19" spans="1:18" x14ac:dyDescent="0.35">
      <c r="A19">
        <v>45</v>
      </c>
      <c r="B19">
        <f t="shared" ref="B19:B29" si="2">AVERAGE(C19:E19)</f>
        <v>4.0333333333333332E-2</v>
      </c>
      <c r="C19" s="8">
        <v>4.1000000000000002E-2</v>
      </c>
      <c r="D19" s="8">
        <v>0.04</v>
      </c>
      <c r="E19" s="8">
        <v>0.04</v>
      </c>
      <c r="N19">
        <v>45</v>
      </c>
      <c r="O19">
        <f t="shared" ref="O19:O29" si="3">AVERAGE(P19:R19)</f>
        <v>0.14166666666666669</v>
      </c>
      <c r="P19" s="8">
        <v>0.129</v>
      </c>
      <c r="Q19" s="8">
        <v>0.15</v>
      </c>
      <c r="R19" s="8">
        <v>0.14599999999999999</v>
      </c>
    </row>
    <row r="20" spans="1:18" x14ac:dyDescent="0.35">
      <c r="A20">
        <v>30</v>
      </c>
      <c r="B20">
        <f t="shared" si="2"/>
        <v>3.9666666666666663E-2</v>
      </c>
      <c r="C20" s="8">
        <v>3.9E-2</v>
      </c>
      <c r="D20" s="8">
        <v>0.04</v>
      </c>
      <c r="E20" s="8">
        <v>0.04</v>
      </c>
      <c r="N20">
        <v>30</v>
      </c>
      <c r="O20">
        <f t="shared" si="3"/>
        <v>0.10633333333333334</v>
      </c>
      <c r="P20" s="8">
        <v>0.11600000000000001</v>
      </c>
      <c r="Q20" s="8">
        <v>0.104</v>
      </c>
      <c r="R20" s="8">
        <v>9.9000000000000005E-2</v>
      </c>
    </row>
    <row r="21" spans="1:18" x14ac:dyDescent="0.35">
      <c r="A21">
        <v>18</v>
      </c>
      <c r="B21">
        <f t="shared" si="2"/>
        <v>3.9E-2</v>
      </c>
      <c r="C21" s="8">
        <v>3.9E-2</v>
      </c>
      <c r="D21" s="8">
        <v>3.9E-2</v>
      </c>
      <c r="E21" s="8">
        <v>3.9E-2</v>
      </c>
      <c r="N21">
        <v>18</v>
      </c>
      <c r="O21">
        <f t="shared" si="3"/>
        <v>8.5666666666666669E-2</v>
      </c>
      <c r="P21" s="8">
        <v>0.08</v>
      </c>
      <c r="Q21" s="8">
        <v>8.5999999999999993E-2</v>
      </c>
      <c r="R21" s="8">
        <v>9.0999999999999998E-2</v>
      </c>
    </row>
    <row r="22" spans="1:18" x14ac:dyDescent="0.35">
      <c r="A22">
        <v>9</v>
      </c>
      <c r="B22">
        <f t="shared" si="2"/>
        <v>3.833333333333333E-2</v>
      </c>
      <c r="C22" s="8">
        <v>3.7999999999999999E-2</v>
      </c>
      <c r="D22" s="8">
        <v>3.7999999999999999E-2</v>
      </c>
      <c r="E22" s="8">
        <v>3.9E-2</v>
      </c>
      <c r="N22">
        <v>9</v>
      </c>
      <c r="O22">
        <f t="shared" si="3"/>
        <v>5.9666666666666666E-2</v>
      </c>
      <c r="P22" s="8">
        <v>5.8999999999999997E-2</v>
      </c>
      <c r="Q22" s="8">
        <v>0.06</v>
      </c>
      <c r="R22" s="8">
        <v>0.06</v>
      </c>
    </row>
    <row r="23" spans="1:18" x14ac:dyDescent="0.35">
      <c r="A23">
        <v>6</v>
      </c>
      <c r="B23">
        <f t="shared" si="2"/>
        <v>3.833333333333333E-2</v>
      </c>
      <c r="C23" s="8">
        <v>3.7999999999999999E-2</v>
      </c>
      <c r="D23" s="8">
        <v>3.9E-2</v>
      </c>
      <c r="E23" s="8">
        <v>3.7999999999999999E-2</v>
      </c>
      <c r="N23">
        <v>6</v>
      </c>
      <c r="O23">
        <f t="shared" si="3"/>
        <v>5.7333333333333326E-2</v>
      </c>
      <c r="P23" s="8">
        <v>0.06</v>
      </c>
      <c r="Q23" s="8">
        <v>5.7000000000000002E-2</v>
      </c>
      <c r="R23" s="8">
        <v>5.5E-2</v>
      </c>
    </row>
    <row r="24" spans="1:18" x14ac:dyDescent="0.35">
      <c r="A24">
        <v>3</v>
      </c>
      <c r="B24">
        <f t="shared" si="2"/>
        <v>3.8666666666666662E-2</v>
      </c>
      <c r="C24" s="8">
        <v>3.7999999999999999E-2</v>
      </c>
      <c r="D24" s="8">
        <v>3.7999999999999999E-2</v>
      </c>
      <c r="E24" s="8">
        <v>0.04</v>
      </c>
      <c r="N24">
        <v>3</v>
      </c>
      <c r="O24">
        <f t="shared" si="3"/>
        <v>4.6666666666666669E-2</v>
      </c>
      <c r="P24" s="8">
        <v>4.4999999999999998E-2</v>
      </c>
      <c r="Q24" s="8">
        <v>4.5999999999999999E-2</v>
      </c>
      <c r="R24" s="8">
        <v>4.9000000000000002E-2</v>
      </c>
    </row>
    <row r="25" spans="1:18" x14ac:dyDescent="0.35">
      <c r="A25">
        <v>0.6</v>
      </c>
      <c r="B25">
        <f t="shared" si="2"/>
        <v>3.833333333333333E-2</v>
      </c>
      <c r="C25" s="8">
        <v>3.7999999999999999E-2</v>
      </c>
      <c r="D25" s="8">
        <v>3.7999999999999999E-2</v>
      </c>
      <c r="E25" s="8">
        <v>3.9E-2</v>
      </c>
      <c r="N25">
        <v>0.6</v>
      </c>
      <c r="O25">
        <f t="shared" si="3"/>
        <v>3.9666666666666663E-2</v>
      </c>
      <c r="P25" s="8">
        <v>0.04</v>
      </c>
      <c r="Q25" s="8">
        <v>3.9E-2</v>
      </c>
      <c r="R25" s="8">
        <v>0.04</v>
      </c>
    </row>
    <row r="26" spans="1:18" x14ac:dyDescent="0.35">
      <c r="A26">
        <v>100</v>
      </c>
      <c r="B26">
        <f t="shared" si="2"/>
        <v>4.2333333333333334E-2</v>
      </c>
      <c r="C26" s="8">
        <v>4.2000000000000003E-2</v>
      </c>
      <c r="D26" s="8">
        <v>4.2000000000000003E-2</v>
      </c>
      <c r="E26" s="8">
        <v>4.2999999999999997E-2</v>
      </c>
      <c r="N26">
        <v>100</v>
      </c>
      <c r="O26">
        <f>AVERAGE(P26:R26)</f>
        <v>0.23566666666666666</v>
      </c>
      <c r="P26" s="8">
        <v>0.24099999999999999</v>
      </c>
      <c r="Q26" s="8">
        <v>0.247</v>
      </c>
      <c r="R26" s="8">
        <v>0.219</v>
      </c>
    </row>
    <row r="27" spans="1:18" x14ac:dyDescent="0.35">
      <c r="A27">
        <v>250</v>
      </c>
      <c r="B27">
        <f t="shared" si="2"/>
        <v>4.4333333333333336E-2</v>
      </c>
      <c r="C27" s="8">
        <v>4.2999999999999997E-2</v>
      </c>
      <c r="D27" s="8">
        <v>4.8000000000000001E-2</v>
      </c>
      <c r="E27" s="8">
        <v>4.2000000000000003E-2</v>
      </c>
      <c r="N27">
        <v>250</v>
      </c>
      <c r="O27">
        <f t="shared" si="3"/>
        <v>0.29199999999999998</v>
      </c>
      <c r="P27" s="8">
        <v>0.32200000000000001</v>
      </c>
      <c r="Q27" s="8">
        <v>0.29099999999999998</v>
      </c>
      <c r="R27" s="8">
        <v>0.26300000000000001</v>
      </c>
    </row>
    <row r="28" spans="1:18" x14ac:dyDescent="0.35">
      <c r="A28">
        <v>500</v>
      </c>
      <c r="B28">
        <f t="shared" si="2"/>
        <v>4.5000000000000005E-2</v>
      </c>
      <c r="C28" s="8">
        <v>4.3999999999999997E-2</v>
      </c>
      <c r="D28" s="8">
        <v>4.5999999999999999E-2</v>
      </c>
      <c r="E28" s="8">
        <v>4.4999999999999998E-2</v>
      </c>
      <c r="N28">
        <v>500</v>
      </c>
      <c r="O28">
        <f>AVERAGE(P28:R28)</f>
        <v>0.29699999999999999</v>
      </c>
      <c r="P28" s="8">
        <v>0.32</v>
      </c>
      <c r="Q28" s="8">
        <v>0.31</v>
      </c>
      <c r="R28" s="8">
        <v>0.26100000000000001</v>
      </c>
    </row>
    <row r="29" spans="1:18" x14ac:dyDescent="0.35">
      <c r="A29">
        <v>0</v>
      </c>
      <c r="B29">
        <f t="shared" si="2"/>
        <v>3.7333333333333329E-2</v>
      </c>
      <c r="C29" s="8">
        <v>3.6999999999999998E-2</v>
      </c>
      <c r="D29" s="8">
        <v>3.7999999999999999E-2</v>
      </c>
      <c r="E29" s="8">
        <v>3.6999999999999998E-2</v>
      </c>
      <c r="N29">
        <v>0</v>
      </c>
      <c r="O29">
        <f t="shared" si="3"/>
        <v>3.7999999999999999E-2</v>
      </c>
      <c r="P29" s="8">
        <v>3.7999999999999999E-2</v>
      </c>
      <c r="Q29" s="8">
        <v>3.7999999999999999E-2</v>
      </c>
      <c r="R29" s="8">
        <v>3.7999999999999999E-2</v>
      </c>
    </row>
    <row r="33" spans="15:18" x14ac:dyDescent="0.35">
      <c r="O33" s="3" t="s">
        <v>8</v>
      </c>
      <c r="P33" s="4" t="s">
        <v>9</v>
      </c>
      <c r="Q33" s="4"/>
      <c r="R33" s="4" t="s">
        <v>10</v>
      </c>
    </row>
    <row r="34" spans="15:18" x14ac:dyDescent="0.35">
      <c r="P34" t="s">
        <v>11</v>
      </c>
      <c r="Q34" t="s">
        <v>12</v>
      </c>
      <c r="R34" t="s">
        <v>13</v>
      </c>
    </row>
    <row r="35" spans="15:18" x14ac:dyDescent="0.35">
      <c r="P35" s="5">
        <f>((P18/0.8)/C3)*100</f>
        <v>128.858024691358</v>
      </c>
      <c r="Q35" s="5">
        <f>((Q18/0.8)/D3)*100</f>
        <v>97.285067873303149</v>
      </c>
      <c r="R35" s="5">
        <f>((R18/0.8)/E3)*100</f>
        <v>112.36702127659575</v>
      </c>
    </row>
  </sheetData>
  <mergeCells count="2">
    <mergeCell ref="A1:L1"/>
    <mergeCell ref="N1:Y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A57C-8C6B-4B27-9204-DE08474F26B2}">
  <dimension ref="A1:N79"/>
  <sheetViews>
    <sheetView topLeftCell="A56" workbookViewId="0">
      <selection activeCell="B72" sqref="B72:M79"/>
    </sheetView>
  </sheetViews>
  <sheetFormatPr defaultRowHeight="14.5" x14ac:dyDescent="0.35"/>
  <cols>
    <col min="1" max="1" width="11.26953125" customWidth="1"/>
  </cols>
  <sheetData>
    <row r="1" spans="1:14" x14ac:dyDescent="0.35">
      <c r="A1" s="6" t="s">
        <v>49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4" x14ac:dyDescent="0.35">
      <c r="A2" s="7" t="s">
        <v>14</v>
      </c>
      <c r="B2" s="8">
        <v>0.16200000000000001</v>
      </c>
      <c r="C2" s="8">
        <v>0.221</v>
      </c>
      <c r="D2" s="8">
        <v>0.188</v>
      </c>
      <c r="E2" s="8">
        <v>0.24299999999999999</v>
      </c>
      <c r="F2" s="8">
        <v>0.26100000000000001</v>
      </c>
      <c r="G2" s="8">
        <v>0.26100000000000001</v>
      </c>
      <c r="H2" s="8">
        <v>4.1000000000000002E-2</v>
      </c>
      <c r="I2" s="8">
        <v>0.04</v>
      </c>
      <c r="J2" s="8">
        <v>4.1000000000000002E-2</v>
      </c>
      <c r="K2" s="8">
        <v>4.2000000000000003E-2</v>
      </c>
      <c r="L2" s="8">
        <v>4.2000000000000003E-2</v>
      </c>
      <c r="M2" s="8">
        <v>4.2999999999999997E-2</v>
      </c>
      <c r="N2" s="26">
        <v>562</v>
      </c>
    </row>
    <row r="3" spans="1:14" x14ac:dyDescent="0.35">
      <c r="A3" s="7" t="s">
        <v>15</v>
      </c>
      <c r="B3" s="8">
        <v>0.16800000000000001</v>
      </c>
      <c r="C3" s="8">
        <v>0.13900000000000001</v>
      </c>
      <c r="D3" s="8">
        <v>0.14199999999999999</v>
      </c>
      <c r="E3" s="8">
        <v>0.55500000000000005</v>
      </c>
      <c r="F3" s="8">
        <v>0.53900000000000003</v>
      </c>
      <c r="G3" s="8">
        <v>0.622</v>
      </c>
      <c r="H3" s="8">
        <v>4.1000000000000002E-2</v>
      </c>
      <c r="I3" s="8">
        <v>0.04</v>
      </c>
      <c r="J3" s="8">
        <v>0.04</v>
      </c>
      <c r="K3" s="8">
        <v>4.2999999999999997E-2</v>
      </c>
      <c r="L3" s="8">
        <v>4.8000000000000001E-2</v>
      </c>
      <c r="M3" s="8">
        <v>4.2000000000000003E-2</v>
      </c>
      <c r="N3" s="26">
        <v>562</v>
      </c>
    </row>
    <row r="4" spans="1:14" x14ac:dyDescent="0.35">
      <c r="A4" s="7" t="s">
        <v>17</v>
      </c>
      <c r="B4" s="8">
        <v>0.11</v>
      </c>
      <c r="C4" s="8">
        <v>0.113</v>
      </c>
      <c r="D4" s="8">
        <v>0.11799999999999999</v>
      </c>
      <c r="E4" s="8">
        <v>0.98399999999999999</v>
      </c>
      <c r="F4" s="8">
        <v>1.097</v>
      </c>
      <c r="G4" s="8">
        <v>0.95099999999999996</v>
      </c>
      <c r="H4" s="8">
        <v>3.9E-2</v>
      </c>
      <c r="I4" s="8">
        <v>0.04</v>
      </c>
      <c r="J4" s="8">
        <v>0.04</v>
      </c>
      <c r="K4" s="8">
        <v>4.3999999999999997E-2</v>
      </c>
      <c r="L4" s="8">
        <v>4.5999999999999999E-2</v>
      </c>
      <c r="M4" s="8">
        <v>4.4999999999999998E-2</v>
      </c>
      <c r="N4" s="26">
        <v>562</v>
      </c>
    </row>
    <row r="5" spans="1:14" x14ac:dyDescent="0.35">
      <c r="A5" s="7" t="s">
        <v>18</v>
      </c>
      <c r="B5" s="8">
        <v>7.4999999999999997E-2</v>
      </c>
      <c r="C5" s="8">
        <v>8.8999999999999996E-2</v>
      </c>
      <c r="D5" s="8">
        <v>7.4999999999999997E-2</v>
      </c>
      <c r="E5" s="8">
        <v>4.7E-2</v>
      </c>
      <c r="F5" s="8">
        <v>4.7E-2</v>
      </c>
      <c r="G5" s="8">
        <v>4.7E-2</v>
      </c>
      <c r="H5" s="8">
        <v>3.9E-2</v>
      </c>
      <c r="I5" s="8">
        <v>3.9E-2</v>
      </c>
      <c r="J5" s="8">
        <v>3.9E-2</v>
      </c>
      <c r="K5" s="8">
        <v>4.8000000000000001E-2</v>
      </c>
      <c r="L5" s="8">
        <v>4.7E-2</v>
      </c>
      <c r="M5" s="8">
        <v>4.7E-2</v>
      </c>
      <c r="N5" s="26">
        <v>562</v>
      </c>
    </row>
    <row r="6" spans="1:14" x14ac:dyDescent="0.35">
      <c r="A6" s="7" t="s">
        <v>19</v>
      </c>
      <c r="B6" s="8">
        <v>5.8999999999999997E-2</v>
      </c>
      <c r="C6" s="8">
        <v>6.4000000000000001E-2</v>
      </c>
      <c r="D6" s="8">
        <v>5.8999999999999997E-2</v>
      </c>
      <c r="E6" s="8">
        <v>4.7E-2</v>
      </c>
      <c r="F6" s="8">
        <v>4.9000000000000002E-2</v>
      </c>
      <c r="G6" s="8">
        <v>4.7E-2</v>
      </c>
      <c r="H6" s="8">
        <v>3.7999999999999999E-2</v>
      </c>
      <c r="I6" s="8">
        <v>3.7999999999999999E-2</v>
      </c>
      <c r="J6" s="8">
        <v>3.9E-2</v>
      </c>
      <c r="K6" s="8">
        <v>4.7E-2</v>
      </c>
      <c r="L6" s="8">
        <v>4.7E-2</v>
      </c>
      <c r="M6" s="8">
        <v>4.7E-2</v>
      </c>
      <c r="N6" s="26">
        <v>562</v>
      </c>
    </row>
    <row r="7" spans="1:14" x14ac:dyDescent="0.35">
      <c r="A7" s="7" t="s">
        <v>20</v>
      </c>
      <c r="B7" s="8">
        <v>5.0999999999999997E-2</v>
      </c>
      <c r="C7" s="8">
        <v>4.9000000000000002E-2</v>
      </c>
      <c r="D7" s="8">
        <v>5.1999999999999998E-2</v>
      </c>
      <c r="E7" s="8">
        <v>4.7E-2</v>
      </c>
      <c r="F7" s="8">
        <v>4.7E-2</v>
      </c>
      <c r="G7" s="8">
        <v>4.7E-2</v>
      </c>
      <c r="H7" s="8">
        <v>3.7999999999999999E-2</v>
      </c>
      <c r="I7" s="8">
        <v>3.9E-2</v>
      </c>
      <c r="J7" s="8">
        <v>3.7999999999999999E-2</v>
      </c>
      <c r="K7" s="8">
        <v>4.7E-2</v>
      </c>
      <c r="L7" s="8">
        <v>4.7E-2</v>
      </c>
      <c r="M7" s="8">
        <v>4.8000000000000001E-2</v>
      </c>
      <c r="N7" s="26">
        <v>562</v>
      </c>
    </row>
    <row r="8" spans="1:14" x14ac:dyDescent="0.35">
      <c r="A8" s="7" t="s">
        <v>21</v>
      </c>
      <c r="B8" s="8">
        <v>4.3999999999999997E-2</v>
      </c>
      <c r="C8" s="8">
        <v>4.3999999999999997E-2</v>
      </c>
      <c r="D8" s="8">
        <v>4.2999999999999997E-2</v>
      </c>
      <c r="E8" s="8">
        <v>4.7E-2</v>
      </c>
      <c r="F8" s="8">
        <v>4.7E-2</v>
      </c>
      <c r="G8" s="8">
        <v>4.7E-2</v>
      </c>
      <c r="H8" s="8">
        <v>3.7999999999999999E-2</v>
      </c>
      <c r="I8" s="8">
        <v>3.7999999999999999E-2</v>
      </c>
      <c r="J8" s="8">
        <v>0.04</v>
      </c>
      <c r="K8" s="8">
        <v>4.7E-2</v>
      </c>
      <c r="L8" s="8">
        <v>4.7E-2</v>
      </c>
      <c r="M8" s="8">
        <v>4.7E-2</v>
      </c>
      <c r="N8" s="26">
        <v>562</v>
      </c>
    </row>
    <row r="9" spans="1:14" x14ac:dyDescent="0.35">
      <c r="A9" s="7" t="s">
        <v>22</v>
      </c>
      <c r="B9" s="8">
        <v>3.7999999999999999E-2</v>
      </c>
      <c r="C9" s="8">
        <v>3.9E-2</v>
      </c>
      <c r="D9" s="8">
        <v>3.7999999999999999E-2</v>
      </c>
      <c r="E9" s="8">
        <v>3.6999999999999998E-2</v>
      </c>
      <c r="F9" s="8">
        <v>3.7999999999999999E-2</v>
      </c>
      <c r="G9" s="8">
        <v>3.6999999999999998E-2</v>
      </c>
      <c r="H9" s="8">
        <v>3.7999999999999999E-2</v>
      </c>
      <c r="I9" s="8">
        <v>3.7999999999999999E-2</v>
      </c>
      <c r="J9" s="8">
        <v>3.9E-2</v>
      </c>
      <c r="K9" s="8">
        <v>3.6999999999999998E-2</v>
      </c>
      <c r="L9" s="8">
        <v>3.7999999999999999E-2</v>
      </c>
      <c r="M9" s="8">
        <v>3.6999999999999998E-2</v>
      </c>
      <c r="N9" s="26">
        <v>562</v>
      </c>
    </row>
    <row r="11" spans="1:14" ht="29" x14ac:dyDescent="0.35">
      <c r="A11" s="6" t="s">
        <v>50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</row>
    <row r="12" spans="1:14" x14ac:dyDescent="0.35">
      <c r="A12" s="7" t="s">
        <v>14</v>
      </c>
      <c r="B12" s="8">
        <v>0.17699999999999999</v>
      </c>
      <c r="C12" s="8">
        <v>0.17599999999999999</v>
      </c>
      <c r="D12" s="8">
        <v>0.184</v>
      </c>
      <c r="E12" s="8">
        <v>3.7999999999999999E-2</v>
      </c>
      <c r="F12" s="8">
        <v>3.9E-2</v>
      </c>
      <c r="G12" s="8">
        <v>3.9E-2</v>
      </c>
      <c r="H12" s="8">
        <v>5.7000000000000002E-2</v>
      </c>
      <c r="I12" s="8">
        <v>5.5E-2</v>
      </c>
      <c r="J12" s="8">
        <v>5.7000000000000002E-2</v>
      </c>
      <c r="K12" s="8">
        <v>4.9000000000000002E-2</v>
      </c>
      <c r="L12" s="8">
        <v>4.8000000000000001E-2</v>
      </c>
      <c r="M12" s="8">
        <v>4.8000000000000001E-2</v>
      </c>
      <c r="N12" s="26">
        <v>562</v>
      </c>
    </row>
    <row r="13" spans="1:14" x14ac:dyDescent="0.35">
      <c r="A13" s="7" t="s">
        <v>15</v>
      </c>
      <c r="B13" s="8">
        <v>5.1999999999999998E-2</v>
      </c>
      <c r="C13" s="8">
        <v>6.0999999999999999E-2</v>
      </c>
      <c r="D13" s="8">
        <v>0.06</v>
      </c>
      <c r="E13" s="8">
        <v>4.2000000000000003E-2</v>
      </c>
      <c r="F13" s="8">
        <v>4.1000000000000002E-2</v>
      </c>
      <c r="G13" s="8">
        <v>4.1000000000000002E-2</v>
      </c>
      <c r="H13" s="8">
        <v>4.1000000000000002E-2</v>
      </c>
      <c r="I13" s="8">
        <v>0.04</v>
      </c>
      <c r="J13" s="8">
        <v>0.04</v>
      </c>
      <c r="K13" s="8">
        <v>4.3999999999999997E-2</v>
      </c>
      <c r="L13" s="8">
        <v>4.3999999999999997E-2</v>
      </c>
      <c r="M13" s="8">
        <v>4.3999999999999997E-2</v>
      </c>
      <c r="N13" s="26">
        <v>562</v>
      </c>
    </row>
    <row r="14" spans="1:14" x14ac:dyDescent="0.35">
      <c r="A14" s="7" t="s">
        <v>17</v>
      </c>
      <c r="B14" s="8">
        <v>3.7999999999999999E-2</v>
      </c>
      <c r="C14" s="8">
        <v>3.7999999999999999E-2</v>
      </c>
      <c r="D14" s="8">
        <v>3.7999999999999999E-2</v>
      </c>
      <c r="E14" s="8">
        <v>3.9E-2</v>
      </c>
      <c r="F14" s="8">
        <v>3.9E-2</v>
      </c>
      <c r="G14" s="8">
        <v>3.9E-2</v>
      </c>
      <c r="H14" s="8">
        <v>4.3999999999999997E-2</v>
      </c>
      <c r="I14" s="8">
        <v>4.2999999999999997E-2</v>
      </c>
      <c r="J14" s="8">
        <v>4.3999999999999997E-2</v>
      </c>
      <c r="K14" s="8">
        <v>6.8000000000000005E-2</v>
      </c>
      <c r="L14" s="8">
        <v>6.6000000000000003E-2</v>
      </c>
      <c r="M14" s="8">
        <v>6.6000000000000003E-2</v>
      </c>
      <c r="N14" s="26">
        <v>562</v>
      </c>
    </row>
    <row r="15" spans="1:14" x14ac:dyDescent="0.35">
      <c r="A15" s="7" t="s">
        <v>18</v>
      </c>
      <c r="B15" s="8">
        <v>3.6999999999999998E-2</v>
      </c>
      <c r="C15" s="8">
        <v>3.6999999999999998E-2</v>
      </c>
      <c r="D15" s="8">
        <v>3.6999999999999998E-2</v>
      </c>
      <c r="E15" s="8">
        <v>4.3999999999999997E-2</v>
      </c>
      <c r="F15" s="8">
        <v>4.3999999999999997E-2</v>
      </c>
      <c r="G15" s="8">
        <v>4.9000000000000002E-2</v>
      </c>
      <c r="H15" s="8">
        <v>4.3999999999999997E-2</v>
      </c>
      <c r="I15" s="8">
        <v>4.3999999999999997E-2</v>
      </c>
      <c r="J15" s="8">
        <v>4.3999999999999997E-2</v>
      </c>
      <c r="K15" s="8">
        <v>4.7E-2</v>
      </c>
      <c r="L15" s="8">
        <v>4.7E-2</v>
      </c>
      <c r="M15" s="8">
        <v>4.7E-2</v>
      </c>
      <c r="N15" s="26">
        <v>562</v>
      </c>
    </row>
    <row r="16" spans="1:14" x14ac:dyDescent="0.35">
      <c r="A16" s="7" t="s">
        <v>19</v>
      </c>
      <c r="B16" s="8">
        <v>0.04</v>
      </c>
      <c r="C16" s="8">
        <v>0.04</v>
      </c>
      <c r="D16" s="8">
        <v>0.04</v>
      </c>
      <c r="E16" s="8">
        <v>0.04</v>
      </c>
      <c r="F16" s="8">
        <v>4.1000000000000002E-2</v>
      </c>
      <c r="G16" s="8">
        <v>3.9E-2</v>
      </c>
      <c r="H16" s="8">
        <v>5.0999999999999997E-2</v>
      </c>
      <c r="I16" s="8">
        <v>4.9000000000000002E-2</v>
      </c>
      <c r="J16" s="8">
        <v>0.05</v>
      </c>
      <c r="K16" s="8">
        <v>4.7E-2</v>
      </c>
      <c r="L16" s="8">
        <v>4.8000000000000001E-2</v>
      </c>
      <c r="M16" s="8">
        <v>4.7E-2</v>
      </c>
      <c r="N16" s="26">
        <v>562</v>
      </c>
    </row>
    <row r="17" spans="1:14" x14ac:dyDescent="0.35">
      <c r="A17" s="7" t="s">
        <v>20</v>
      </c>
      <c r="B17" s="8">
        <v>3.9E-2</v>
      </c>
      <c r="C17" s="8">
        <v>3.7999999999999999E-2</v>
      </c>
      <c r="D17" s="8">
        <v>3.7999999999999999E-2</v>
      </c>
      <c r="E17" s="8">
        <v>3.9E-2</v>
      </c>
      <c r="F17" s="8">
        <v>3.7999999999999999E-2</v>
      </c>
      <c r="G17" s="8">
        <v>3.7999999999999999E-2</v>
      </c>
      <c r="H17" s="8">
        <v>0.123</v>
      </c>
      <c r="I17" s="8">
        <v>0.13700000000000001</v>
      </c>
      <c r="J17" s="8">
        <v>0.129</v>
      </c>
      <c r="K17" s="8">
        <v>4.7E-2</v>
      </c>
      <c r="L17" s="8">
        <v>4.8000000000000001E-2</v>
      </c>
      <c r="M17" s="8">
        <v>4.8000000000000001E-2</v>
      </c>
      <c r="N17" s="26">
        <v>562</v>
      </c>
    </row>
    <row r="18" spans="1:14" x14ac:dyDescent="0.35">
      <c r="A18" s="7" t="s">
        <v>21</v>
      </c>
      <c r="B18" s="8">
        <v>3.7999999999999999E-2</v>
      </c>
      <c r="C18" s="8">
        <v>3.7999999999999999E-2</v>
      </c>
      <c r="D18" s="8">
        <v>3.7999999999999999E-2</v>
      </c>
      <c r="E18" s="8">
        <v>3.9E-2</v>
      </c>
      <c r="F18" s="8">
        <v>3.9E-2</v>
      </c>
      <c r="G18" s="8">
        <v>3.9E-2</v>
      </c>
      <c r="H18" s="8">
        <v>4.8000000000000001E-2</v>
      </c>
      <c r="I18" s="8">
        <v>4.8000000000000001E-2</v>
      </c>
      <c r="J18" s="8">
        <v>5.7000000000000002E-2</v>
      </c>
      <c r="K18" s="8">
        <v>4.7E-2</v>
      </c>
      <c r="L18" s="8">
        <v>4.7E-2</v>
      </c>
      <c r="M18" s="8">
        <v>4.7E-2</v>
      </c>
      <c r="N18" s="26">
        <v>562</v>
      </c>
    </row>
    <row r="19" spans="1:14" x14ac:dyDescent="0.35">
      <c r="A19" s="7" t="s">
        <v>22</v>
      </c>
      <c r="B19" s="8">
        <v>3.7999999999999999E-2</v>
      </c>
      <c r="C19" s="8">
        <v>3.7999999999999999E-2</v>
      </c>
      <c r="D19" s="8">
        <v>3.7999999999999999E-2</v>
      </c>
      <c r="E19" s="8">
        <v>0.05</v>
      </c>
      <c r="F19" s="8">
        <v>4.8000000000000001E-2</v>
      </c>
      <c r="G19" s="8">
        <v>4.8000000000000001E-2</v>
      </c>
      <c r="H19" s="8">
        <v>7.9000000000000001E-2</v>
      </c>
      <c r="I19" s="8">
        <v>7.6999999999999999E-2</v>
      </c>
      <c r="J19" s="8">
        <v>7.6999999999999999E-2</v>
      </c>
      <c r="K19" s="8">
        <v>4.7E-2</v>
      </c>
      <c r="L19" s="8">
        <v>4.7E-2</v>
      </c>
      <c r="M19" s="8">
        <v>4.7E-2</v>
      </c>
      <c r="N19" s="26">
        <v>562</v>
      </c>
    </row>
    <row r="21" spans="1:14" ht="29" x14ac:dyDescent="0.35">
      <c r="A21" s="6" t="s">
        <v>51</v>
      </c>
      <c r="B21" s="7">
        <v>1</v>
      </c>
      <c r="C21" s="7">
        <v>2</v>
      </c>
      <c r="D21" s="7">
        <v>3</v>
      </c>
      <c r="E21" s="7">
        <v>4</v>
      </c>
      <c r="F21" s="7">
        <v>5</v>
      </c>
      <c r="G21" s="7">
        <v>6</v>
      </c>
      <c r="H21" s="7">
        <v>7</v>
      </c>
      <c r="I21" s="7">
        <v>8</v>
      </c>
      <c r="J21" s="7">
        <v>9</v>
      </c>
      <c r="K21" s="7">
        <v>10</v>
      </c>
      <c r="L21" s="7">
        <v>11</v>
      </c>
      <c r="M21" s="7">
        <v>12</v>
      </c>
    </row>
    <row r="22" spans="1:14" x14ac:dyDescent="0.35">
      <c r="A22" s="7" t="s">
        <v>14</v>
      </c>
      <c r="B22" s="8">
        <v>0.32500000000000001</v>
      </c>
      <c r="C22" s="8">
        <v>0.315</v>
      </c>
      <c r="D22" s="8">
        <v>0.29499999999999998</v>
      </c>
      <c r="E22" s="8">
        <v>0.48399999999999999</v>
      </c>
      <c r="F22" s="8">
        <v>0.433</v>
      </c>
      <c r="G22" s="8">
        <v>0.41699999999999998</v>
      </c>
      <c r="H22" s="8">
        <v>0.16700000000000001</v>
      </c>
      <c r="I22" s="8">
        <v>0.17199999999999999</v>
      </c>
      <c r="J22" s="8">
        <v>0.16900000000000001</v>
      </c>
      <c r="K22" s="8">
        <v>0.24099999999999999</v>
      </c>
      <c r="L22" s="8">
        <v>0.247</v>
      </c>
      <c r="M22" s="8">
        <v>0.219</v>
      </c>
      <c r="N22" s="26">
        <v>562</v>
      </c>
    </row>
    <row r="23" spans="1:14" x14ac:dyDescent="0.35">
      <c r="A23" s="7" t="s">
        <v>15</v>
      </c>
      <c r="B23" s="8">
        <v>0.252</v>
      </c>
      <c r="C23" s="8">
        <v>0.224</v>
      </c>
      <c r="D23" s="8">
        <v>0.23799999999999999</v>
      </c>
      <c r="E23" s="8">
        <v>0.71699999999999997</v>
      </c>
      <c r="F23" s="8">
        <v>0.63500000000000001</v>
      </c>
      <c r="G23" s="8">
        <v>0.84</v>
      </c>
      <c r="H23" s="8">
        <v>0.129</v>
      </c>
      <c r="I23" s="8">
        <v>0.15</v>
      </c>
      <c r="J23" s="8">
        <v>0.14599999999999999</v>
      </c>
      <c r="K23" s="8">
        <v>0.32200000000000001</v>
      </c>
      <c r="L23" s="8">
        <v>0.29099999999999998</v>
      </c>
      <c r="M23" s="8">
        <v>0.26300000000000001</v>
      </c>
      <c r="N23" s="26">
        <v>562</v>
      </c>
    </row>
    <row r="24" spans="1:14" x14ac:dyDescent="0.35">
      <c r="A24" s="7" t="s">
        <v>17</v>
      </c>
      <c r="B24" s="8">
        <v>0.182</v>
      </c>
      <c r="C24" s="8">
        <v>0.18</v>
      </c>
      <c r="D24" s="8">
        <v>0.16900000000000001</v>
      </c>
      <c r="E24" s="8">
        <v>1.0469999999999999</v>
      </c>
      <c r="F24" s="8">
        <v>1.139</v>
      </c>
      <c r="G24" s="8">
        <v>0.96799999999999997</v>
      </c>
      <c r="H24" s="8">
        <v>0.11600000000000001</v>
      </c>
      <c r="I24" s="8">
        <v>0.104</v>
      </c>
      <c r="J24" s="8">
        <v>9.9000000000000005E-2</v>
      </c>
      <c r="K24" s="8">
        <v>0.32</v>
      </c>
      <c r="L24" s="8">
        <v>0.31</v>
      </c>
      <c r="M24" s="8">
        <v>0.26100000000000001</v>
      </c>
      <c r="N24" s="26">
        <v>562</v>
      </c>
    </row>
    <row r="25" spans="1:14" x14ac:dyDescent="0.35">
      <c r="A25" s="7" t="s">
        <v>18</v>
      </c>
      <c r="B25" s="8">
        <v>0.12</v>
      </c>
      <c r="C25" s="8">
        <v>0.124</v>
      </c>
      <c r="D25" s="8">
        <v>0.115</v>
      </c>
      <c r="E25" s="8">
        <v>1.1439999999999999</v>
      </c>
      <c r="F25" s="8">
        <v>1.01</v>
      </c>
      <c r="G25" s="8">
        <v>0.84299999999999997</v>
      </c>
      <c r="H25" s="8">
        <v>0.08</v>
      </c>
      <c r="I25" s="8">
        <v>8.5999999999999993E-2</v>
      </c>
      <c r="J25" s="8">
        <v>9.0999999999999998E-2</v>
      </c>
      <c r="K25" s="8">
        <v>4.8000000000000001E-2</v>
      </c>
      <c r="L25" s="8">
        <v>4.7E-2</v>
      </c>
      <c r="M25" s="8">
        <v>4.7E-2</v>
      </c>
      <c r="N25" s="26">
        <v>562</v>
      </c>
    </row>
    <row r="26" spans="1:14" x14ac:dyDescent="0.35">
      <c r="A26" s="7" t="s">
        <v>19</v>
      </c>
      <c r="B26" s="8">
        <v>7.9000000000000001E-2</v>
      </c>
      <c r="C26" s="8">
        <v>8.5000000000000006E-2</v>
      </c>
      <c r="D26" s="8">
        <v>7.2999999999999995E-2</v>
      </c>
      <c r="E26" s="8">
        <v>1.0840000000000001</v>
      </c>
      <c r="F26" s="8">
        <v>1.583</v>
      </c>
      <c r="G26" s="8">
        <v>1.325</v>
      </c>
      <c r="H26" s="8">
        <v>5.8999999999999997E-2</v>
      </c>
      <c r="I26" s="8">
        <v>0.06</v>
      </c>
      <c r="J26" s="8">
        <v>0.06</v>
      </c>
      <c r="K26" s="8">
        <v>4.7E-2</v>
      </c>
      <c r="L26" s="8">
        <v>4.8000000000000001E-2</v>
      </c>
      <c r="M26" s="8">
        <v>4.7E-2</v>
      </c>
      <c r="N26" s="26">
        <v>562</v>
      </c>
    </row>
    <row r="27" spans="1:14" x14ac:dyDescent="0.35">
      <c r="A27" s="7" t="s">
        <v>20</v>
      </c>
      <c r="B27" s="8">
        <v>6.5000000000000002E-2</v>
      </c>
      <c r="C27" s="8">
        <v>6.6000000000000003E-2</v>
      </c>
      <c r="D27" s="8">
        <v>5.8000000000000003E-2</v>
      </c>
      <c r="E27" s="8">
        <v>1.3109999999999999</v>
      </c>
      <c r="F27" s="8">
        <v>0.92800000000000005</v>
      </c>
      <c r="G27" s="8">
        <v>1.3420000000000001</v>
      </c>
      <c r="H27" s="8">
        <v>0.06</v>
      </c>
      <c r="I27" s="8">
        <v>5.7000000000000002E-2</v>
      </c>
      <c r="J27" s="8">
        <v>5.5E-2</v>
      </c>
      <c r="K27" s="8">
        <v>4.7E-2</v>
      </c>
      <c r="L27" s="8">
        <v>4.7E-2</v>
      </c>
      <c r="M27" s="8">
        <v>4.8000000000000001E-2</v>
      </c>
      <c r="N27" s="26">
        <v>562</v>
      </c>
    </row>
    <row r="28" spans="1:14" x14ac:dyDescent="0.35">
      <c r="A28" s="7" t="s">
        <v>21</v>
      </c>
      <c r="B28" s="8">
        <v>0.05</v>
      </c>
      <c r="C28" s="8">
        <v>5.0999999999999997E-2</v>
      </c>
      <c r="D28" s="8">
        <v>0.05</v>
      </c>
      <c r="E28" s="8">
        <v>1.4970000000000001</v>
      </c>
      <c r="F28" s="8">
        <v>1.407</v>
      </c>
      <c r="G28" s="8">
        <v>1.4530000000000001</v>
      </c>
      <c r="H28" s="8">
        <v>4.4999999999999998E-2</v>
      </c>
      <c r="I28" s="8">
        <v>4.5999999999999999E-2</v>
      </c>
      <c r="J28" s="8">
        <v>4.9000000000000002E-2</v>
      </c>
      <c r="K28" s="8">
        <v>4.7E-2</v>
      </c>
      <c r="L28" s="8">
        <v>4.7E-2</v>
      </c>
      <c r="M28" s="8">
        <v>4.7E-2</v>
      </c>
      <c r="N28" s="26">
        <v>562</v>
      </c>
    </row>
    <row r="29" spans="1:14" x14ac:dyDescent="0.35">
      <c r="A29" s="7" t="s">
        <v>22</v>
      </c>
      <c r="B29" s="8">
        <v>4.2000000000000003E-2</v>
      </c>
      <c r="C29" s="8">
        <v>4.2000000000000003E-2</v>
      </c>
      <c r="D29" s="8">
        <v>0.04</v>
      </c>
      <c r="E29" s="8">
        <v>3.7999999999999999E-2</v>
      </c>
      <c r="F29" s="8">
        <v>3.7999999999999999E-2</v>
      </c>
      <c r="G29" s="8">
        <v>3.7999999999999999E-2</v>
      </c>
      <c r="H29" s="8">
        <v>0.04</v>
      </c>
      <c r="I29" s="8">
        <v>3.9E-2</v>
      </c>
      <c r="J29" s="8">
        <v>0.04</v>
      </c>
      <c r="K29" s="8">
        <v>3.7999999999999999E-2</v>
      </c>
      <c r="L29" s="8">
        <v>3.7999999999999999E-2</v>
      </c>
      <c r="M29" s="8">
        <v>3.7999999999999999E-2</v>
      </c>
      <c r="N29" s="26">
        <v>562</v>
      </c>
    </row>
    <row r="31" spans="1:14" ht="29" x14ac:dyDescent="0.35">
      <c r="A31" s="6" t="s">
        <v>52</v>
      </c>
      <c r="B31" s="7">
        <v>1</v>
      </c>
      <c r="C31" s="7">
        <v>2</v>
      </c>
      <c r="D31" s="7">
        <v>3</v>
      </c>
      <c r="E31" s="7">
        <v>4</v>
      </c>
      <c r="F31" s="7">
        <v>5</v>
      </c>
      <c r="G31" s="7">
        <v>6</v>
      </c>
      <c r="H31" s="7">
        <v>7</v>
      </c>
      <c r="I31" s="7">
        <v>8</v>
      </c>
      <c r="J31" s="7">
        <v>9</v>
      </c>
      <c r="K31" s="7">
        <v>10</v>
      </c>
      <c r="L31" s="7">
        <v>11</v>
      </c>
      <c r="M31" s="7">
        <v>12</v>
      </c>
    </row>
    <row r="32" spans="1:14" x14ac:dyDescent="0.35">
      <c r="A32" s="7" t="s">
        <v>14</v>
      </c>
      <c r="B32" s="8">
        <v>0.4</v>
      </c>
      <c r="C32" s="8">
        <v>0.3</v>
      </c>
      <c r="D32" s="8">
        <v>0.29399999999999998</v>
      </c>
      <c r="E32" s="8">
        <v>4.3999999999999997E-2</v>
      </c>
      <c r="F32" s="8">
        <v>4.3999999999999997E-2</v>
      </c>
      <c r="G32" s="8">
        <v>4.3999999999999997E-2</v>
      </c>
      <c r="H32" s="8">
        <v>6.4000000000000001E-2</v>
      </c>
      <c r="I32" s="8">
        <v>5.8000000000000003E-2</v>
      </c>
      <c r="J32" s="8">
        <v>0.06</v>
      </c>
      <c r="K32" s="8">
        <v>5.0999999999999997E-2</v>
      </c>
      <c r="L32" s="8">
        <v>0.05</v>
      </c>
      <c r="M32" s="8">
        <v>4.9000000000000002E-2</v>
      </c>
      <c r="N32" s="26">
        <v>562</v>
      </c>
    </row>
    <row r="33" spans="1:14" x14ac:dyDescent="0.35">
      <c r="A33" s="7" t="s">
        <v>15</v>
      </c>
      <c r="B33" s="8">
        <v>7.0000000000000007E-2</v>
      </c>
      <c r="C33" s="8">
        <v>8.4000000000000005E-2</v>
      </c>
      <c r="D33" s="8">
        <v>7.9000000000000001E-2</v>
      </c>
      <c r="E33" s="8">
        <v>4.2999999999999997E-2</v>
      </c>
      <c r="F33" s="8">
        <v>4.2999999999999997E-2</v>
      </c>
      <c r="G33" s="8">
        <v>4.2999999999999997E-2</v>
      </c>
      <c r="H33" s="8">
        <v>4.9000000000000002E-2</v>
      </c>
      <c r="I33" s="8">
        <v>4.7E-2</v>
      </c>
      <c r="J33" s="8">
        <v>4.7E-2</v>
      </c>
      <c r="K33" s="8">
        <v>4.3999999999999997E-2</v>
      </c>
      <c r="L33" s="8">
        <v>4.4999999999999998E-2</v>
      </c>
      <c r="M33" s="8">
        <v>4.3999999999999997E-2</v>
      </c>
      <c r="N33" s="26">
        <v>562</v>
      </c>
    </row>
    <row r="34" spans="1:14" x14ac:dyDescent="0.35">
      <c r="A34" s="7" t="s">
        <v>17</v>
      </c>
      <c r="B34" s="8">
        <v>0.04</v>
      </c>
      <c r="C34" s="8">
        <v>0.04</v>
      </c>
      <c r="D34" s="8">
        <v>4.1000000000000002E-2</v>
      </c>
      <c r="E34" s="8">
        <v>4.2999999999999997E-2</v>
      </c>
      <c r="F34" s="8">
        <v>4.2000000000000003E-2</v>
      </c>
      <c r="G34" s="8">
        <v>4.2000000000000003E-2</v>
      </c>
      <c r="H34" s="8">
        <v>4.7E-2</v>
      </c>
      <c r="I34" s="8">
        <v>4.7E-2</v>
      </c>
      <c r="J34" s="8">
        <v>4.5999999999999999E-2</v>
      </c>
      <c r="K34" s="8">
        <v>7.2999999999999995E-2</v>
      </c>
      <c r="L34" s="8">
        <v>7.0999999999999994E-2</v>
      </c>
      <c r="M34" s="8">
        <v>7.0999999999999994E-2</v>
      </c>
      <c r="N34" s="26">
        <v>562</v>
      </c>
    </row>
    <row r="35" spans="1:14" x14ac:dyDescent="0.35">
      <c r="A35" s="7" t="s">
        <v>18</v>
      </c>
      <c r="B35" s="8">
        <v>3.7999999999999999E-2</v>
      </c>
      <c r="C35" s="8">
        <v>3.7999999999999999E-2</v>
      </c>
      <c r="D35" s="8">
        <v>3.7999999999999999E-2</v>
      </c>
      <c r="E35" s="8">
        <v>4.7E-2</v>
      </c>
      <c r="F35" s="8">
        <v>4.8000000000000001E-2</v>
      </c>
      <c r="G35" s="8">
        <v>4.7E-2</v>
      </c>
      <c r="H35" s="8">
        <v>4.5999999999999999E-2</v>
      </c>
      <c r="I35" s="8">
        <v>4.9000000000000002E-2</v>
      </c>
      <c r="J35" s="8">
        <v>4.7E-2</v>
      </c>
      <c r="K35" s="8">
        <v>4.8000000000000001E-2</v>
      </c>
      <c r="L35" s="8">
        <v>4.7E-2</v>
      </c>
      <c r="M35" s="8">
        <v>4.7E-2</v>
      </c>
      <c r="N35" s="26">
        <v>562</v>
      </c>
    </row>
    <row r="36" spans="1:14" x14ac:dyDescent="0.35">
      <c r="A36" s="7" t="s">
        <v>19</v>
      </c>
      <c r="B36" s="8">
        <v>0.185</v>
      </c>
      <c r="C36" s="8">
        <v>0.20699999999999999</v>
      </c>
      <c r="D36" s="8">
        <v>0.157</v>
      </c>
      <c r="E36" s="8">
        <v>4.3999999999999997E-2</v>
      </c>
      <c r="F36" s="8">
        <v>4.5999999999999999E-2</v>
      </c>
      <c r="G36" s="8">
        <v>4.2999999999999997E-2</v>
      </c>
      <c r="H36" s="8">
        <v>5.2999999999999999E-2</v>
      </c>
      <c r="I36" s="8">
        <v>0.05</v>
      </c>
      <c r="J36" s="8">
        <v>5.1999999999999998E-2</v>
      </c>
      <c r="K36" s="8">
        <v>4.7E-2</v>
      </c>
      <c r="L36" s="8">
        <v>4.8000000000000001E-2</v>
      </c>
      <c r="M36" s="8">
        <v>4.7E-2</v>
      </c>
      <c r="N36" s="26">
        <v>562</v>
      </c>
    </row>
    <row r="37" spans="1:14" x14ac:dyDescent="0.35">
      <c r="A37" s="7" t="s">
        <v>20</v>
      </c>
      <c r="B37" s="8">
        <v>6.0999999999999999E-2</v>
      </c>
      <c r="C37" s="8">
        <v>0.06</v>
      </c>
      <c r="D37" s="8">
        <v>5.0999999999999997E-2</v>
      </c>
      <c r="E37" s="8">
        <v>4.4999999999999998E-2</v>
      </c>
      <c r="F37" s="8">
        <v>4.2999999999999997E-2</v>
      </c>
      <c r="G37" s="8">
        <v>4.4999999999999998E-2</v>
      </c>
      <c r="H37" s="8">
        <v>0.17599999999999999</v>
      </c>
      <c r="I37" s="8">
        <v>0.20499999999999999</v>
      </c>
      <c r="J37" s="8">
        <v>0.17399999999999999</v>
      </c>
      <c r="K37" s="8">
        <v>4.7E-2</v>
      </c>
      <c r="L37" s="8">
        <v>4.8000000000000001E-2</v>
      </c>
      <c r="M37" s="8">
        <v>4.8000000000000001E-2</v>
      </c>
      <c r="N37" s="26">
        <v>562</v>
      </c>
    </row>
    <row r="38" spans="1:14" x14ac:dyDescent="0.35">
      <c r="A38" s="7" t="s">
        <v>21</v>
      </c>
      <c r="B38" s="8">
        <v>3.9E-2</v>
      </c>
      <c r="C38" s="8">
        <v>4.2000000000000003E-2</v>
      </c>
      <c r="D38" s="8">
        <v>4.1000000000000002E-2</v>
      </c>
      <c r="E38" s="8">
        <v>4.2000000000000003E-2</v>
      </c>
      <c r="F38" s="8">
        <v>4.2999999999999997E-2</v>
      </c>
      <c r="G38" s="8">
        <v>4.1000000000000002E-2</v>
      </c>
      <c r="H38" s="8">
        <v>0.04</v>
      </c>
      <c r="I38" s="8">
        <v>0.04</v>
      </c>
      <c r="J38" s="8">
        <v>4.2000000000000003E-2</v>
      </c>
      <c r="K38" s="8">
        <v>4.7E-2</v>
      </c>
      <c r="L38" s="8">
        <v>4.7E-2</v>
      </c>
      <c r="M38" s="8">
        <v>4.8000000000000001E-2</v>
      </c>
      <c r="N38" s="26">
        <v>562</v>
      </c>
    </row>
    <row r="39" spans="1:14" x14ac:dyDescent="0.35">
      <c r="A39" s="7" t="s">
        <v>22</v>
      </c>
      <c r="B39" s="8">
        <v>3.7999999999999999E-2</v>
      </c>
      <c r="C39" s="8">
        <v>3.7999999999999999E-2</v>
      </c>
      <c r="D39" s="8">
        <v>3.7999999999999999E-2</v>
      </c>
      <c r="E39" s="8">
        <v>5.0999999999999997E-2</v>
      </c>
      <c r="F39" s="8">
        <v>4.9000000000000002E-2</v>
      </c>
      <c r="G39" s="8">
        <v>8.2000000000000003E-2</v>
      </c>
      <c r="H39" s="8">
        <v>0.1</v>
      </c>
      <c r="I39" s="8">
        <v>9.6000000000000002E-2</v>
      </c>
      <c r="J39" s="8">
        <v>9.6000000000000002E-2</v>
      </c>
      <c r="K39" s="8">
        <v>4.7E-2</v>
      </c>
      <c r="L39" s="8">
        <v>4.7E-2</v>
      </c>
      <c r="M39" s="8">
        <v>4.7E-2</v>
      </c>
      <c r="N39" s="26">
        <v>562</v>
      </c>
    </row>
    <row r="41" spans="1:14" ht="29" x14ac:dyDescent="0.35">
      <c r="A41" s="6" t="s">
        <v>54</v>
      </c>
      <c r="B41" s="7">
        <v>1</v>
      </c>
      <c r="C41" s="7">
        <v>2</v>
      </c>
      <c r="D41" s="7">
        <v>3</v>
      </c>
      <c r="E41" s="7">
        <v>4</v>
      </c>
      <c r="F41" s="7">
        <v>5</v>
      </c>
      <c r="G41" s="7">
        <v>6</v>
      </c>
      <c r="H41" s="7">
        <v>7</v>
      </c>
      <c r="I41" s="7">
        <v>8</v>
      </c>
      <c r="J41" s="7">
        <v>9</v>
      </c>
      <c r="K41" s="7">
        <v>10</v>
      </c>
      <c r="L41" s="7">
        <v>11</v>
      </c>
      <c r="M41" s="7">
        <v>12</v>
      </c>
    </row>
    <row r="42" spans="1:14" x14ac:dyDescent="0.35">
      <c r="A42" s="7" t="s">
        <v>14</v>
      </c>
      <c r="B42" s="8">
        <v>0.17299999999999999</v>
      </c>
      <c r="C42" s="8">
        <v>0.18099999999999999</v>
      </c>
      <c r="D42" s="8">
        <v>0.14799999999999999</v>
      </c>
      <c r="E42" s="8">
        <v>3.6999999999999998E-2</v>
      </c>
      <c r="F42" s="8">
        <v>3.6999999999999998E-2</v>
      </c>
      <c r="G42" s="8">
        <v>3.7999999999999999E-2</v>
      </c>
      <c r="H42" s="8">
        <v>4.2999999999999997E-2</v>
      </c>
      <c r="I42" s="8">
        <v>4.2999999999999997E-2</v>
      </c>
      <c r="J42" s="8">
        <v>4.2999999999999997E-2</v>
      </c>
      <c r="K42" s="8">
        <v>4.7E-2</v>
      </c>
      <c r="L42" s="8">
        <v>4.5999999999999999E-2</v>
      </c>
      <c r="M42" s="8">
        <v>4.8000000000000001E-2</v>
      </c>
      <c r="N42" s="26">
        <v>562</v>
      </c>
    </row>
    <row r="43" spans="1:14" x14ac:dyDescent="0.35">
      <c r="A43" s="7" t="s">
        <v>15</v>
      </c>
      <c r="B43" s="8">
        <v>5.3999999999999999E-2</v>
      </c>
      <c r="C43" s="8">
        <v>5.6000000000000001E-2</v>
      </c>
      <c r="D43" s="8">
        <v>5.7000000000000002E-2</v>
      </c>
      <c r="E43" s="8">
        <v>3.6999999999999998E-2</v>
      </c>
      <c r="F43" s="8">
        <v>3.7999999999999999E-2</v>
      </c>
      <c r="G43" s="8">
        <v>3.6999999999999998E-2</v>
      </c>
      <c r="H43" s="8">
        <v>4.8000000000000001E-2</v>
      </c>
      <c r="I43" s="8">
        <v>4.7E-2</v>
      </c>
      <c r="J43" s="8">
        <v>4.7E-2</v>
      </c>
      <c r="K43" s="8">
        <v>4.7E-2</v>
      </c>
      <c r="L43" s="8">
        <v>4.7E-2</v>
      </c>
      <c r="M43" s="8">
        <v>4.7E-2</v>
      </c>
      <c r="N43" s="26">
        <v>562</v>
      </c>
    </row>
    <row r="44" spans="1:14" x14ac:dyDescent="0.35">
      <c r="A44" s="7" t="s">
        <v>17</v>
      </c>
      <c r="B44" s="8">
        <v>3.7999999999999999E-2</v>
      </c>
      <c r="C44" s="8">
        <v>3.7999999999999999E-2</v>
      </c>
      <c r="D44" s="8">
        <v>3.7999999999999999E-2</v>
      </c>
      <c r="E44" s="8">
        <v>3.6999999999999998E-2</v>
      </c>
      <c r="F44" s="8">
        <v>3.7999999999999999E-2</v>
      </c>
      <c r="G44" s="8">
        <v>3.7999999999999999E-2</v>
      </c>
      <c r="H44" s="8">
        <v>3.7999999999999999E-2</v>
      </c>
      <c r="I44" s="8">
        <v>3.7999999999999999E-2</v>
      </c>
      <c r="J44" s="8">
        <v>3.6999999999999998E-2</v>
      </c>
      <c r="K44" s="8">
        <v>4.7E-2</v>
      </c>
      <c r="L44" s="8">
        <v>4.7E-2</v>
      </c>
      <c r="M44" s="8">
        <v>4.7E-2</v>
      </c>
      <c r="N44" s="26">
        <v>562</v>
      </c>
    </row>
    <row r="45" spans="1:14" x14ac:dyDescent="0.35">
      <c r="A45" s="7" t="s">
        <v>18</v>
      </c>
      <c r="B45" s="8">
        <v>4.1000000000000002E-2</v>
      </c>
      <c r="C45" s="8">
        <v>3.6999999999999998E-2</v>
      </c>
      <c r="D45" s="8">
        <v>3.6999999999999998E-2</v>
      </c>
      <c r="E45" s="8">
        <v>0.04</v>
      </c>
      <c r="F45" s="8">
        <v>3.9E-2</v>
      </c>
      <c r="G45" s="8">
        <v>3.9E-2</v>
      </c>
      <c r="H45" s="8">
        <v>4.7E-2</v>
      </c>
      <c r="I45" s="8">
        <v>4.7E-2</v>
      </c>
      <c r="J45" s="8">
        <v>4.8000000000000001E-2</v>
      </c>
      <c r="K45" s="8">
        <v>4.7E-2</v>
      </c>
      <c r="L45" s="8">
        <v>4.7E-2</v>
      </c>
      <c r="M45" s="8">
        <v>4.7E-2</v>
      </c>
      <c r="N45" s="26">
        <v>562</v>
      </c>
    </row>
    <row r="46" spans="1:14" x14ac:dyDescent="0.35">
      <c r="A46" s="7" t="s">
        <v>19</v>
      </c>
      <c r="B46" s="8">
        <v>0.04</v>
      </c>
      <c r="C46" s="8">
        <v>0.04</v>
      </c>
      <c r="D46" s="8">
        <v>0.04</v>
      </c>
      <c r="E46" s="8">
        <v>4.2999999999999997E-2</v>
      </c>
      <c r="F46" s="8">
        <v>4.2999999999999997E-2</v>
      </c>
      <c r="G46" s="8">
        <v>4.2999999999999997E-2</v>
      </c>
      <c r="H46" s="8">
        <v>4.7E-2</v>
      </c>
      <c r="I46" s="8">
        <v>4.7E-2</v>
      </c>
      <c r="J46" s="8">
        <v>4.7E-2</v>
      </c>
      <c r="K46" s="8">
        <v>4.7E-2</v>
      </c>
      <c r="L46" s="8">
        <v>4.7E-2</v>
      </c>
      <c r="M46" s="8">
        <v>4.7E-2</v>
      </c>
      <c r="N46" s="26">
        <v>562</v>
      </c>
    </row>
    <row r="47" spans="1:14" x14ac:dyDescent="0.35">
      <c r="A47" s="7" t="s">
        <v>20</v>
      </c>
      <c r="B47" s="8">
        <v>3.9E-2</v>
      </c>
      <c r="C47" s="8">
        <v>3.7999999999999999E-2</v>
      </c>
      <c r="D47" s="8">
        <v>3.7999999999999999E-2</v>
      </c>
      <c r="E47" s="8">
        <v>4.3999999999999997E-2</v>
      </c>
      <c r="F47" s="8">
        <v>4.3999999999999997E-2</v>
      </c>
      <c r="G47" s="8">
        <v>4.2999999999999997E-2</v>
      </c>
      <c r="H47" s="8">
        <v>4.7E-2</v>
      </c>
      <c r="I47" s="8">
        <v>4.7E-2</v>
      </c>
      <c r="J47" s="8">
        <v>5.2999999999999999E-2</v>
      </c>
      <c r="K47" s="8">
        <v>4.7E-2</v>
      </c>
      <c r="L47" s="8">
        <v>4.7E-2</v>
      </c>
      <c r="M47" s="8">
        <v>4.7E-2</v>
      </c>
      <c r="N47" s="26">
        <v>562</v>
      </c>
    </row>
    <row r="48" spans="1:14" x14ac:dyDescent="0.35">
      <c r="A48" s="7" t="s">
        <v>21</v>
      </c>
      <c r="B48" s="8">
        <v>3.7999999999999999E-2</v>
      </c>
      <c r="C48" s="8">
        <v>3.6999999999999998E-2</v>
      </c>
      <c r="D48" s="8">
        <v>4.1000000000000002E-2</v>
      </c>
      <c r="E48" s="8">
        <v>4.4999999999999998E-2</v>
      </c>
      <c r="F48" s="8">
        <v>4.3999999999999997E-2</v>
      </c>
      <c r="G48" s="8">
        <v>4.2999999999999997E-2</v>
      </c>
      <c r="H48" s="8">
        <v>4.7E-2</v>
      </c>
      <c r="I48" s="8">
        <v>4.7E-2</v>
      </c>
      <c r="J48" s="8">
        <v>4.7E-2</v>
      </c>
      <c r="K48" s="8">
        <v>4.7E-2</v>
      </c>
      <c r="L48" s="8">
        <v>4.7E-2</v>
      </c>
      <c r="M48" s="8">
        <v>4.7E-2</v>
      </c>
      <c r="N48" s="26">
        <v>562</v>
      </c>
    </row>
    <row r="49" spans="1:14" x14ac:dyDescent="0.35">
      <c r="A49" s="7" t="s">
        <v>22</v>
      </c>
      <c r="B49" s="8">
        <v>3.7999999999999999E-2</v>
      </c>
      <c r="C49" s="8">
        <v>3.7999999999999999E-2</v>
      </c>
      <c r="D49" s="8">
        <v>3.6999999999999998E-2</v>
      </c>
      <c r="E49" s="8">
        <v>0.15</v>
      </c>
      <c r="F49" s="8">
        <v>0.156</v>
      </c>
      <c r="G49" s="8">
        <v>0.157</v>
      </c>
      <c r="H49" s="8">
        <v>4.7E-2</v>
      </c>
      <c r="I49" s="8">
        <v>4.7E-2</v>
      </c>
      <c r="J49" s="8">
        <v>4.7E-2</v>
      </c>
      <c r="K49" s="8">
        <v>4.7E-2</v>
      </c>
      <c r="L49" s="8">
        <v>4.7E-2</v>
      </c>
      <c r="M49" s="8">
        <v>4.7E-2</v>
      </c>
      <c r="N49" s="26">
        <v>562</v>
      </c>
    </row>
    <row r="51" spans="1:14" ht="29" x14ac:dyDescent="0.35">
      <c r="A51" s="6" t="s">
        <v>55</v>
      </c>
      <c r="B51" s="7">
        <v>1</v>
      </c>
      <c r="C51" s="7">
        <v>2</v>
      </c>
      <c r="D51" s="7">
        <v>3</v>
      </c>
      <c r="E51" s="7">
        <v>4</v>
      </c>
      <c r="F51" s="7">
        <v>5</v>
      </c>
      <c r="G51" s="7">
        <v>6</v>
      </c>
      <c r="H51" s="7">
        <v>7</v>
      </c>
      <c r="I51" s="7">
        <v>8</v>
      </c>
      <c r="J51" s="7">
        <v>9</v>
      </c>
      <c r="K51" s="7">
        <v>10</v>
      </c>
      <c r="L51" s="7">
        <v>11</v>
      </c>
      <c r="M51" s="7">
        <v>12</v>
      </c>
    </row>
    <row r="52" spans="1:14" x14ac:dyDescent="0.35">
      <c r="A52" s="7" t="s">
        <v>14</v>
      </c>
      <c r="B52" s="8">
        <v>0.151</v>
      </c>
      <c r="C52" s="8">
        <v>0.14799999999999999</v>
      </c>
      <c r="D52" s="8">
        <v>0.11700000000000001</v>
      </c>
      <c r="E52" s="8">
        <v>4.2999999999999997E-2</v>
      </c>
      <c r="F52" s="8">
        <v>4.1000000000000002E-2</v>
      </c>
      <c r="G52" s="8">
        <v>4.1000000000000002E-2</v>
      </c>
      <c r="H52" s="8">
        <v>4.4999999999999998E-2</v>
      </c>
      <c r="I52" s="8">
        <v>4.4999999999999998E-2</v>
      </c>
      <c r="J52" s="8">
        <v>4.3999999999999997E-2</v>
      </c>
      <c r="K52" s="8">
        <v>4.1000000000000002E-2</v>
      </c>
      <c r="L52" s="8">
        <v>4.1000000000000002E-2</v>
      </c>
      <c r="M52" s="8">
        <v>4.2000000000000003E-2</v>
      </c>
      <c r="N52" s="26">
        <v>562</v>
      </c>
    </row>
    <row r="53" spans="1:14" x14ac:dyDescent="0.35">
      <c r="A53" s="7" t="s">
        <v>15</v>
      </c>
      <c r="B53" s="8">
        <v>5.5E-2</v>
      </c>
      <c r="C53" s="8">
        <v>5.1999999999999998E-2</v>
      </c>
      <c r="D53" s="8">
        <v>0.05</v>
      </c>
      <c r="E53" s="8">
        <v>3.9E-2</v>
      </c>
      <c r="F53" s="8">
        <v>0.04</v>
      </c>
      <c r="G53" s="8">
        <v>3.9E-2</v>
      </c>
      <c r="H53" s="8">
        <v>5.2999999999999999E-2</v>
      </c>
      <c r="I53" s="8">
        <v>5.1999999999999998E-2</v>
      </c>
      <c r="J53" s="8">
        <v>5.2999999999999999E-2</v>
      </c>
      <c r="K53" s="8">
        <v>4.1000000000000002E-2</v>
      </c>
      <c r="L53" s="8">
        <v>0.04</v>
      </c>
      <c r="M53" s="8">
        <v>0.04</v>
      </c>
      <c r="N53" s="26">
        <v>562</v>
      </c>
    </row>
    <row r="54" spans="1:14" x14ac:dyDescent="0.35">
      <c r="A54" s="7" t="s">
        <v>17</v>
      </c>
      <c r="B54" s="8">
        <v>3.6999999999999998E-2</v>
      </c>
      <c r="C54" s="8">
        <v>3.7999999999999999E-2</v>
      </c>
      <c r="D54" s="8">
        <v>3.7999999999999999E-2</v>
      </c>
      <c r="E54" s="8">
        <v>4.2000000000000003E-2</v>
      </c>
      <c r="F54" s="8">
        <v>4.2000000000000003E-2</v>
      </c>
      <c r="G54" s="8">
        <v>4.2999999999999997E-2</v>
      </c>
      <c r="H54" s="8">
        <v>3.9E-2</v>
      </c>
      <c r="I54" s="8">
        <v>0.04</v>
      </c>
      <c r="J54" s="8">
        <v>3.7999999999999999E-2</v>
      </c>
      <c r="K54" s="8">
        <v>5.3999999999999999E-2</v>
      </c>
      <c r="L54" s="8">
        <v>5.0999999999999997E-2</v>
      </c>
      <c r="M54" s="8">
        <v>5.3999999999999999E-2</v>
      </c>
      <c r="N54" s="26">
        <v>562</v>
      </c>
    </row>
    <row r="55" spans="1:14" x14ac:dyDescent="0.35">
      <c r="A55" s="7" t="s">
        <v>18</v>
      </c>
      <c r="B55" s="8">
        <v>3.6999999999999998E-2</v>
      </c>
      <c r="C55" s="8">
        <v>3.6999999999999998E-2</v>
      </c>
      <c r="D55" s="8">
        <v>3.6999999999999998E-2</v>
      </c>
      <c r="E55" s="8">
        <v>3.7999999999999999E-2</v>
      </c>
      <c r="F55" s="8">
        <v>3.7999999999999999E-2</v>
      </c>
      <c r="G55" s="8">
        <v>3.7999999999999999E-2</v>
      </c>
      <c r="H55" s="8">
        <v>3.7999999999999999E-2</v>
      </c>
      <c r="I55" s="8">
        <v>3.9E-2</v>
      </c>
      <c r="J55" s="8">
        <v>3.9E-2</v>
      </c>
      <c r="K55" s="8">
        <v>4.1000000000000002E-2</v>
      </c>
      <c r="L55" s="8">
        <v>4.1000000000000002E-2</v>
      </c>
      <c r="M55" s="8">
        <v>4.1000000000000002E-2</v>
      </c>
      <c r="N55" s="26">
        <v>562</v>
      </c>
    </row>
    <row r="56" spans="1:14" x14ac:dyDescent="0.35">
      <c r="A56" s="7" t="s">
        <v>19</v>
      </c>
      <c r="B56" s="8">
        <v>4.1000000000000002E-2</v>
      </c>
      <c r="C56" s="8">
        <v>0.04</v>
      </c>
      <c r="D56" s="8">
        <v>0.155</v>
      </c>
      <c r="E56" s="8">
        <v>3.9E-2</v>
      </c>
      <c r="F56" s="8">
        <v>3.9E-2</v>
      </c>
      <c r="G56" s="8">
        <v>0.04</v>
      </c>
      <c r="H56" s="8">
        <v>4.5999999999999999E-2</v>
      </c>
      <c r="I56" s="8">
        <v>4.5999999999999999E-2</v>
      </c>
      <c r="J56" s="8">
        <v>4.4999999999999998E-2</v>
      </c>
      <c r="K56" s="8">
        <v>0.04</v>
      </c>
      <c r="L56" s="8">
        <v>0.04</v>
      </c>
      <c r="M56" s="8">
        <v>4.1000000000000002E-2</v>
      </c>
      <c r="N56" s="26">
        <v>562</v>
      </c>
    </row>
    <row r="57" spans="1:14" x14ac:dyDescent="0.35">
      <c r="A57" s="7" t="s">
        <v>20</v>
      </c>
      <c r="B57" s="8">
        <v>3.9E-2</v>
      </c>
      <c r="C57" s="8">
        <v>4.2000000000000003E-2</v>
      </c>
      <c r="D57" s="8">
        <v>3.7999999999999999E-2</v>
      </c>
      <c r="E57" s="8">
        <v>3.7999999999999999E-2</v>
      </c>
      <c r="F57" s="8">
        <v>3.9E-2</v>
      </c>
      <c r="G57" s="8">
        <v>3.9E-2</v>
      </c>
      <c r="H57" s="8">
        <v>0.14899999999999999</v>
      </c>
      <c r="I57" s="8">
        <v>0.16400000000000001</v>
      </c>
      <c r="J57" s="8">
        <v>0.16800000000000001</v>
      </c>
      <c r="K57" s="8">
        <v>3.7999999999999999E-2</v>
      </c>
      <c r="L57" s="8">
        <v>3.9E-2</v>
      </c>
      <c r="M57" s="8">
        <v>3.7999999999999999E-2</v>
      </c>
      <c r="N57" s="26">
        <v>562</v>
      </c>
    </row>
    <row r="58" spans="1:14" x14ac:dyDescent="0.35">
      <c r="A58" s="7" t="s">
        <v>21</v>
      </c>
      <c r="B58" s="8">
        <v>0.04</v>
      </c>
      <c r="C58" s="8">
        <v>3.6999999999999998E-2</v>
      </c>
      <c r="D58" s="8">
        <v>3.7999999999999999E-2</v>
      </c>
      <c r="E58" s="8">
        <v>3.9E-2</v>
      </c>
      <c r="F58" s="8">
        <v>3.7999999999999999E-2</v>
      </c>
      <c r="G58" s="8">
        <v>3.7999999999999999E-2</v>
      </c>
      <c r="H58" s="8">
        <v>8.1000000000000003E-2</v>
      </c>
      <c r="I58" s="8">
        <v>0.08</v>
      </c>
      <c r="J58" s="8">
        <v>7.5999999999999998E-2</v>
      </c>
      <c r="K58" s="8">
        <v>4.7E-2</v>
      </c>
      <c r="L58" s="8">
        <v>4.7E-2</v>
      </c>
      <c r="M58" s="8">
        <v>4.8000000000000001E-2</v>
      </c>
      <c r="N58" s="26">
        <v>562</v>
      </c>
    </row>
    <row r="59" spans="1:14" x14ac:dyDescent="0.35">
      <c r="A59" s="7" t="s">
        <v>22</v>
      </c>
      <c r="B59" s="8">
        <v>3.7999999999999999E-2</v>
      </c>
      <c r="C59" s="8">
        <v>3.6999999999999998E-2</v>
      </c>
      <c r="D59" s="8">
        <v>3.7999999999999999E-2</v>
      </c>
      <c r="E59" s="8">
        <v>3.9E-2</v>
      </c>
      <c r="F59" s="8">
        <v>3.7999999999999999E-2</v>
      </c>
      <c r="G59" s="8">
        <v>3.7999999999999999E-2</v>
      </c>
      <c r="H59" s="8">
        <v>4.1000000000000002E-2</v>
      </c>
      <c r="I59" s="8">
        <v>4.1000000000000002E-2</v>
      </c>
      <c r="J59" s="8">
        <v>4.1000000000000002E-2</v>
      </c>
      <c r="K59" s="8">
        <v>4.7E-2</v>
      </c>
      <c r="L59" s="8">
        <v>4.7E-2</v>
      </c>
      <c r="M59" s="8">
        <v>4.7E-2</v>
      </c>
      <c r="N59" s="26">
        <v>562</v>
      </c>
    </row>
    <row r="61" spans="1:14" ht="29" x14ac:dyDescent="0.35">
      <c r="A61" s="6" t="s">
        <v>53</v>
      </c>
      <c r="B61" s="7">
        <v>1</v>
      </c>
      <c r="C61" s="7">
        <v>2</v>
      </c>
      <c r="D61" s="7">
        <v>3</v>
      </c>
      <c r="E61" s="7">
        <v>4</v>
      </c>
      <c r="F61" s="7">
        <v>5</v>
      </c>
      <c r="G61" s="7">
        <v>6</v>
      </c>
      <c r="H61" s="7">
        <v>7</v>
      </c>
      <c r="I61" s="7">
        <v>8</v>
      </c>
      <c r="J61" s="7">
        <v>9</v>
      </c>
      <c r="K61" s="7">
        <v>10</v>
      </c>
      <c r="L61" s="7">
        <v>11</v>
      </c>
      <c r="M61" s="7">
        <v>12</v>
      </c>
    </row>
    <row r="62" spans="1:14" x14ac:dyDescent="0.35">
      <c r="A62" s="7" t="s">
        <v>14</v>
      </c>
      <c r="B62" s="8">
        <v>0.28000000000000003</v>
      </c>
      <c r="C62" s="8">
        <v>0.28799999999999998</v>
      </c>
      <c r="D62" s="8">
        <v>0.25600000000000001</v>
      </c>
      <c r="E62" s="8">
        <v>4.2999999999999997E-2</v>
      </c>
      <c r="F62" s="8">
        <v>4.2000000000000003E-2</v>
      </c>
      <c r="G62" s="8">
        <v>4.1000000000000002E-2</v>
      </c>
      <c r="H62" s="8">
        <v>4.7E-2</v>
      </c>
      <c r="I62" s="8">
        <v>4.5999999999999999E-2</v>
      </c>
      <c r="J62" s="8">
        <v>4.7E-2</v>
      </c>
      <c r="K62" s="8">
        <v>4.7E-2</v>
      </c>
      <c r="L62" s="8">
        <v>4.7E-2</v>
      </c>
      <c r="M62" s="8">
        <v>4.7E-2</v>
      </c>
      <c r="N62" s="26">
        <v>562</v>
      </c>
    </row>
    <row r="63" spans="1:14" x14ac:dyDescent="0.35">
      <c r="A63" s="7" t="s">
        <v>15</v>
      </c>
      <c r="B63" s="8">
        <v>7.4999999999999997E-2</v>
      </c>
      <c r="C63" s="8">
        <v>7.8E-2</v>
      </c>
      <c r="D63" s="8">
        <v>7.2999999999999995E-2</v>
      </c>
      <c r="E63" s="8">
        <v>4.2999999999999997E-2</v>
      </c>
      <c r="F63" s="8">
        <v>4.2999999999999997E-2</v>
      </c>
      <c r="G63" s="8">
        <v>4.3999999999999997E-2</v>
      </c>
      <c r="H63" s="8">
        <v>5.6000000000000001E-2</v>
      </c>
      <c r="I63" s="8">
        <v>5.5E-2</v>
      </c>
      <c r="J63" s="8">
        <v>5.5E-2</v>
      </c>
      <c r="K63" s="8">
        <v>4.7E-2</v>
      </c>
      <c r="L63" s="8">
        <v>4.7E-2</v>
      </c>
      <c r="M63" s="8">
        <v>4.7E-2</v>
      </c>
      <c r="N63" s="26">
        <v>562</v>
      </c>
    </row>
    <row r="64" spans="1:14" x14ac:dyDescent="0.35">
      <c r="A64" s="7" t="s">
        <v>17</v>
      </c>
      <c r="B64" s="8">
        <v>0.04</v>
      </c>
      <c r="C64" s="8">
        <v>0.04</v>
      </c>
      <c r="D64" s="8">
        <v>3.9E-2</v>
      </c>
      <c r="E64" s="8">
        <v>0.04</v>
      </c>
      <c r="F64" s="8">
        <v>4.1000000000000002E-2</v>
      </c>
      <c r="G64" s="8">
        <v>4.2000000000000003E-2</v>
      </c>
      <c r="H64" s="8">
        <v>3.7999999999999999E-2</v>
      </c>
      <c r="I64" s="8">
        <v>3.6999999999999998E-2</v>
      </c>
      <c r="J64" s="8">
        <v>3.6999999999999998E-2</v>
      </c>
      <c r="K64" s="8">
        <v>4.7E-2</v>
      </c>
      <c r="L64" s="8">
        <v>4.7E-2</v>
      </c>
      <c r="M64" s="8">
        <v>4.7E-2</v>
      </c>
      <c r="N64" s="26">
        <v>562</v>
      </c>
    </row>
    <row r="65" spans="1:14" x14ac:dyDescent="0.35">
      <c r="A65" s="7" t="s">
        <v>18</v>
      </c>
      <c r="B65" s="8">
        <v>4.2000000000000003E-2</v>
      </c>
      <c r="C65" s="8">
        <v>3.7999999999999999E-2</v>
      </c>
      <c r="D65" s="8">
        <v>3.9E-2</v>
      </c>
      <c r="E65" s="8">
        <v>4.3999999999999997E-2</v>
      </c>
      <c r="F65" s="8">
        <v>4.2999999999999997E-2</v>
      </c>
      <c r="G65" s="8">
        <v>4.2999999999999997E-2</v>
      </c>
      <c r="H65" s="8">
        <v>4.7E-2</v>
      </c>
      <c r="I65" s="8">
        <v>4.8000000000000001E-2</v>
      </c>
      <c r="J65" s="8">
        <v>4.8000000000000001E-2</v>
      </c>
      <c r="K65" s="8">
        <v>4.7E-2</v>
      </c>
      <c r="L65" s="8">
        <v>4.7E-2</v>
      </c>
      <c r="M65" s="8">
        <v>4.7E-2</v>
      </c>
      <c r="N65" s="26">
        <v>562</v>
      </c>
    </row>
    <row r="66" spans="1:14" x14ac:dyDescent="0.35">
      <c r="A66" s="7" t="s">
        <v>19</v>
      </c>
      <c r="B66" s="8">
        <v>0.17699999999999999</v>
      </c>
      <c r="C66" s="8">
        <v>0.161</v>
      </c>
      <c r="D66" s="8">
        <v>0.184</v>
      </c>
      <c r="E66" s="8">
        <v>4.5999999999999999E-2</v>
      </c>
      <c r="F66" s="8">
        <v>4.7E-2</v>
      </c>
      <c r="G66" s="8">
        <v>4.7E-2</v>
      </c>
      <c r="H66" s="8">
        <v>4.7E-2</v>
      </c>
      <c r="I66" s="8">
        <v>4.7E-2</v>
      </c>
      <c r="J66" s="8">
        <v>5.6000000000000001E-2</v>
      </c>
      <c r="K66" s="8">
        <v>4.7E-2</v>
      </c>
      <c r="L66" s="8">
        <v>4.7E-2</v>
      </c>
      <c r="M66" s="8">
        <v>4.8000000000000001E-2</v>
      </c>
      <c r="N66" s="26">
        <v>562</v>
      </c>
    </row>
    <row r="67" spans="1:14" x14ac:dyDescent="0.35">
      <c r="A67" s="7" t="s">
        <v>20</v>
      </c>
      <c r="B67" s="8">
        <v>0.06</v>
      </c>
      <c r="C67" s="8">
        <v>6.3E-2</v>
      </c>
      <c r="D67" s="8">
        <v>4.3999999999999997E-2</v>
      </c>
      <c r="E67" s="8">
        <v>4.8000000000000001E-2</v>
      </c>
      <c r="F67" s="8">
        <v>4.8000000000000001E-2</v>
      </c>
      <c r="G67" s="8">
        <v>4.8000000000000001E-2</v>
      </c>
      <c r="H67" s="8">
        <v>4.7E-2</v>
      </c>
      <c r="I67" s="8">
        <v>4.7E-2</v>
      </c>
      <c r="J67" s="8">
        <v>5.3999999999999999E-2</v>
      </c>
      <c r="K67" s="8">
        <v>4.7E-2</v>
      </c>
      <c r="L67" s="8">
        <v>4.7E-2</v>
      </c>
      <c r="M67" s="8">
        <v>4.7E-2</v>
      </c>
      <c r="N67" s="26">
        <v>562</v>
      </c>
    </row>
    <row r="68" spans="1:14" x14ac:dyDescent="0.35">
      <c r="A68" s="7" t="s">
        <v>21</v>
      </c>
      <c r="B68" s="8">
        <v>0.04</v>
      </c>
      <c r="C68" s="8">
        <v>0.04</v>
      </c>
      <c r="D68" s="8">
        <v>0.04</v>
      </c>
      <c r="E68" s="8">
        <v>0.05</v>
      </c>
      <c r="F68" s="8">
        <v>4.7E-2</v>
      </c>
      <c r="G68" s="8">
        <v>4.7E-2</v>
      </c>
      <c r="H68" s="8">
        <v>4.7E-2</v>
      </c>
      <c r="I68" s="8">
        <v>4.7E-2</v>
      </c>
      <c r="J68" s="8">
        <v>4.7E-2</v>
      </c>
      <c r="K68" s="8">
        <v>4.7E-2</v>
      </c>
      <c r="L68" s="8">
        <v>4.8000000000000001E-2</v>
      </c>
      <c r="M68" s="8">
        <v>4.7E-2</v>
      </c>
      <c r="N68" s="26">
        <v>562</v>
      </c>
    </row>
    <row r="69" spans="1:14" x14ac:dyDescent="0.35">
      <c r="A69" s="7" t="s">
        <v>22</v>
      </c>
      <c r="B69" s="8">
        <v>3.7999999999999999E-2</v>
      </c>
      <c r="C69" s="8">
        <v>3.7999999999999999E-2</v>
      </c>
      <c r="D69" s="8">
        <v>3.7999999999999999E-2</v>
      </c>
      <c r="E69" s="8">
        <v>0.192</v>
      </c>
      <c r="F69" s="8">
        <v>0.20599999999999999</v>
      </c>
      <c r="G69" s="8">
        <v>0.183</v>
      </c>
      <c r="H69" s="8">
        <v>4.7E-2</v>
      </c>
      <c r="I69" s="8">
        <v>4.7E-2</v>
      </c>
      <c r="J69" s="8">
        <v>4.8000000000000001E-2</v>
      </c>
      <c r="K69" s="8">
        <v>4.7E-2</v>
      </c>
      <c r="L69" s="8">
        <v>4.7E-2</v>
      </c>
      <c r="M69" s="8">
        <v>4.7E-2</v>
      </c>
      <c r="N69" s="26">
        <v>562</v>
      </c>
    </row>
    <row r="71" spans="1:14" ht="29" x14ac:dyDescent="0.35">
      <c r="A71" s="6" t="s">
        <v>56</v>
      </c>
      <c r="B71" s="7">
        <v>1</v>
      </c>
      <c r="C71" s="7">
        <v>2</v>
      </c>
      <c r="D71" s="7">
        <v>3</v>
      </c>
      <c r="E71" s="7">
        <v>4</v>
      </c>
      <c r="F71" s="7">
        <v>5</v>
      </c>
      <c r="G71" s="7">
        <v>6</v>
      </c>
      <c r="H71" s="7">
        <v>7</v>
      </c>
      <c r="I71" s="7">
        <v>8</v>
      </c>
      <c r="J71" s="7">
        <v>9</v>
      </c>
      <c r="K71" s="7">
        <v>10</v>
      </c>
      <c r="L71" s="7">
        <v>11</v>
      </c>
      <c r="M71" s="7">
        <v>12</v>
      </c>
    </row>
    <row r="72" spans="1:14" x14ac:dyDescent="0.35">
      <c r="A72" s="7" t="s">
        <v>14</v>
      </c>
      <c r="B72" s="8">
        <v>0.30399999999999999</v>
      </c>
      <c r="C72" s="8">
        <v>0.30099999999999999</v>
      </c>
      <c r="D72" s="8">
        <v>0.27200000000000002</v>
      </c>
      <c r="E72" s="8">
        <v>4.8000000000000001E-2</v>
      </c>
      <c r="F72" s="8">
        <v>4.4999999999999998E-2</v>
      </c>
      <c r="G72" s="8">
        <v>4.5999999999999999E-2</v>
      </c>
      <c r="H72" s="8">
        <v>4.8000000000000001E-2</v>
      </c>
      <c r="I72" s="8">
        <v>4.9000000000000002E-2</v>
      </c>
      <c r="J72" s="8">
        <v>4.8000000000000001E-2</v>
      </c>
      <c r="K72" s="8">
        <v>4.4999999999999998E-2</v>
      </c>
      <c r="L72" s="8">
        <v>4.2999999999999997E-2</v>
      </c>
      <c r="M72" s="8">
        <v>4.3999999999999997E-2</v>
      </c>
      <c r="N72" s="26">
        <v>562</v>
      </c>
    </row>
    <row r="73" spans="1:14" x14ac:dyDescent="0.35">
      <c r="A73" s="7" t="s">
        <v>15</v>
      </c>
      <c r="B73" s="8">
        <v>7.9000000000000001E-2</v>
      </c>
      <c r="C73" s="8">
        <v>7.4999999999999997E-2</v>
      </c>
      <c r="D73" s="8">
        <v>7.8E-2</v>
      </c>
      <c r="E73" s="8">
        <v>4.3999999999999997E-2</v>
      </c>
      <c r="F73" s="8">
        <v>4.3999999999999997E-2</v>
      </c>
      <c r="G73" s="8">
        <v>4.2999999999999997E-2</v>
      </c>
      <c r="H73" s="8">
        <v>5.6000000000000001E-2</v>
      </c>
      <c r="I73" s="8">
        <v>5.8000000000000003E-2</v>
      </c>
      <c r="J73" s="8">
        <v>5.6000000000000001E-2</v>
      </c>
      <c r="K73" s="8">
        <v>4.3999999999999997E-2</v>
      </c>
      <c r="L73" s="8">
        <v>4.2999999999999997E-2</v>
      </c>
      <c r="M73" s="8">
        <v>4.2999999999999997E-2</v>
      </c>
      <c r="N73" s="26">
        <v>562</v>
      </c>
    </row>
    <row r="74" spans="1:14" x14ac:dyDescent="0.35">
      <c r="A74" s="7" t="s">
        <v>17</v>
      </c>
      <c r="B74" s="8">
        <v>0.04</v>
      </c>
      <c r="C74" s="8">
        <v>4.1000000000000002E-2</v>
      </c>
      <c r="D74" s="8">
        <v>0.04</v>
      </c>
      <c r="E74" s="8">
        <v>4.5999999999999999E-2</v>
      </c>
      <c r="F74" s="8">
        <v>4.4999999999999998E-2</v>
      </c>
      <c r="G74" s="8">
        <v>4.8000000000000001E-2</v>
      </c>
      <c r="H74" s="8">
        <v>4.2000000000000003E-2</v>
      </c>
      <c r="I74" s="8">
        <v>4.2999999999999997E-2</v>
      </c>
      <c r="J74" s="8">
        <v>4.2000000000000003E-2</v>
      </c>
      <c r="K74" s="8">
        <v>6.3E-2</v>
      </c>
      <c r="L74" s="8">
        <v>5.6000000000000001E-2</v>
      </c>
      <c r="M74" s="8">
        <v>5.8999999999999997E-2</v>
      </c>
      <c r="N74" s="26">
        <v>562</v>
      </c>
    </row>
    <row r="75" spans="1:14" x14ac:dyDescent="0.35">
      <c r="A75" s="7" t="s">
        <v>18</v>
      </c>
      <c r="B75" s="8">
        <v>3.7999999999999999E-2</v>
      </c>
      <c r="C75" s="8">
        <v>3.7999999999999999E-2</v>
      </c>
      <c r="D75" s="8">
        <v>3.7999999999999999E-2</v>
      </c>
      <c r="E75" s="8">
        <v>4.7E-2</v>
      </c>
      <c r="F75" s="8">
        <v>4.4999999999999998E-2</v>
      </c>
      <c r="G75" s="8">
        <v>4.2999999999999997E-2</v>
      </c>
      <c r="H75" s="8">
        <v>4.2999999999999997E-2</v>
      </c>
      <c r="I75" s="8">
        <v>4.2999999999999997E-2</v>
      </c>
      <c r="J75" s="8">
        <v>4.2999999999999997E-2</v>
      </c>
      <c r="K75" s="8">
        <v>4.5999999999999999E-2</v>
      </c>
      <c r="L75" s="8">
        <v>4.5999999999999999E-2</v>
      </c>
      <c r="M75" s="8">
        <v>4.5999999999999999E-2</v>
      </c>
      <c r="N75" s="26">
        <v>562</v>
      </c>
    </row>
    <row r="76" spans="1:14" x14ac:dyDescent="0.35">
      <c r="A76" s="7" t="s">
        <v>19</v>
      </c>
      <c r="B76" s="8">
        <v>0.20200000000000001</v>
      </c>
      <c r="C76" s="8">
        <v>0.20899999999999999</v>
      </c>
      <c r="D76" s="8">
        <v>0.29099999999999998</v>
      </c>
      <c r="E76" s="8">
        <v>4.7E-2</v>
      </c>
      <c r="F76" s="8">
        <v>4.3999999999999997E-2</v>
      </c>
      <c r="G76" s="8">
        <v>4.9000000000000002E-2</v>
      </c>
      <c r="H76" s="8">
        <v>4.9000000000000002E-2</v>
      </c>
      <c r="I76" s="8">
        <v>4.9000000000000002E-2</v>
      </c>
      <c r="J76" s="8">
        <v>4.8000000000000001E-2</v>
      </c>
      <c r="K76" s="8">
        <v>4.3999999999999997E-2</v>
      </c>
      <c r="L76" s="8">
        <v>4.2999999999999997E-2</v>
      </c>
      <c r="M76" s="8">
        <v>4.2999999999999997E-2</v>
      </c>
      <c r="N76" s="26">
        <v>562</v>
      </c>
    </row>
    <row r="77" spans="1:14" x14ac:dyDescent="0.35">
      <c r="A77" s="7" t="s">
        <v>20</v>
      </c>
      <c r="B77" s="8">
        <v>6.7000000000000004E-2</v>
      </c>
      <c r="C77" s="8">
        <v>7.0999999999999994E-2</v>
      </c>
      <c r="D77" s="8">
        <v>6.2E-2</v>
      </c>
      <c r="E77" s="8">
        <v>4.3999999999999997E-2</v>
      </c>
      <c r="F77" s="8">
        <v>4.4999999999999998E-2</v>
      </c>
      <c r="G77" s="8">
        <v>4.4999999999999998E-2</v>
      </c>
      <c r="H77" s="8">
        <v>0.22600000000000001</v>
      </c>
      <c r="I77" s="8">
        <v>0.223</v>
      </c>
      <c r="J77" s="8">
        <v>0.246</v>
      </c>
      <c r="K77" s="8">
        <v>4.1000000000000002E-2</v>
      </c>
      <c r="L77" s="8">
        <v>4.2000000000000003E-2</v>
      </c>
      <c r="M77" s="8">
        <v>4.3999999999999997E-2</v>
      </c>
      <c r="N77" s="26">
        <v>562</v>
      </c>
    </row>
    <row r="78" spans="1:14" x14ac:dyDescent="0.35">
      <c r="A78" s="7" t="s">
        <v>21</v>
      </c>
      <c r="B78" s="8">
        <v>4.2999999999999997E-2</v>
      </c>
      <c r="C78" s="8">
        <v>3.9E-2</v>
      </c>
      <c r="D78" s="8">
        <v>0.04</v>
      </c>
      <c r="E78" s="8">
        <v>4.5999999999999999E-2</v>
      </c>
      <c r="F78" s="8">
        <v>4.5999999999999999E-2</v>
      </c>
      <c r="G78" s="8">
        <v>4.5999999999999999E-2</v>
      </c>
      <c r="H78" s="8">
        <v>8.3000000000000004E-2</v>
      </c>
      <c r="I78" s="8">
        <v>0.08</v>
      </c>
      <c r="J78" s="8">
        <v>7.6999999999999999E-2</v>
      </c>
      <c r="K78" s="8">
        <v>4.7E-2</v>
      </c>
      <c r="L78" s="8">
        <v>4.7E-2</v>
      </c>
      <c r="M78" s="8">
        <v>0.05</v>
      </c>
      <c r="N78" s="26">
        <v>562</v>
      </c>
    </row>
    <row r="79" spans="1:14" x14ac:dyDescent="0.35">
      <c r="A79" s="7" t="s">
        <v>22</v>
      </c>
      <c r="B79" s="8">
        <v>3.9E-2</v>
      </c>
      <c r="C79" s="8">
        <v>3.9E-2</v>
      </c>
      <c r="D79" s="8">
        <v>3.7999999999999999E-2</v>
      </c>
      <c r="E79" s="8">
        <v>4.2999999999999997E-2</v>
      </c>
      <c r="F79" s="8">
        <v>4.3999999999999997E-2</v>
      </c>
      <c r="G79" s="8">
        <v>4.1000000000000002E-2</v>
      </c>
      <c r="H79" s="8">
        <v>4.2999999999999997E-2</v>
      </c>
      <c r="I79" s="8">
        <v>4.2999999999999997E-2</v>
      </c>
      <c r="J79" s="8">
        <v>4.3999999999999997E-2</v>
      </c>
      <c r="K79" s="8">
        <v>4.8000000000000001E-2</v>
      </c>
      <c r="L79" s="8">
        <v>4.9000000000000002E-2</v>
      </c>
      <c r="M79" s="8">
        <v>4.7E-2</v>
      </c>
      <c r="N79" s="26">
        <v>562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DA3B-D409-4B86-A5F3-6531A544CA0B}">
  <dimension ref="A1:M79"/>
  <sheetViews>
    <sheetView workbookViewId="0">
      <selection activeCell="G15" sqref="G15"/>
    </sheetView>
  </sheetViews>
  <sheetFormatPr defaultRowHeight="14.5" x14ac:dyDescent="0.35"/>
  <cols>
    <col min="1" max="1" width="12.26953125" customWidth="1"/>
    <col min="2" max="2" width="12.54296875" customWidth="1"/>
    <col min="3" max="3" width="11.26953125" customWidth="1"/>
    <col min="4" max="4" width="12.1796875" customWidth="1"/>
    <col min="5" max="5" width="15.81640625" customWidth="1"/>
    <col min="6" max="6" width="14" customWidth="1"/>
    <col min="7" max="7" width="14.453125" customWidth="1"/>
    <col min="8" max="8" width="13.54296875" customWidth="1"/>
    <col min="9" max="9" width="11.54296875" customWidth="1"/>
    <col min="10" max="10" width="12.81640625" customWidth="1"/>
    <col min="11" max="11" width="13.26953125" customWidth="1"/>
    <col min="12" max="12" width="14.54296875" customWidth="1"/>
    <col min="13" max="13" width="12.7265625" customWidth="1"/>
  </cols>
  <sheetData>
    <row r="1" spans="1:13" x14ac:dyDescent="0.35">
      <c r="A1" s="6" t="s">
        <v>4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x14ac:dyDescent="0.35">
      <c r="A2" s="7" t="s">
        <v>14</v>
      </c>
      <c r="B2" s="8">
        <v>0.16200000000000001</v>
      </c>
      <c r="C2" s="8">
        <v>0.221</v>
      </c>
      <c r="D2" s="8">
        <v>0.188</v>
      </c>
      <c r="E2" s="8">
        <v>0.24299999999999999</v>
      </c>
      <c r="F2" s="8">
        <v>0.26100000000000001</v>
      </c>
      <c r="G2" s="8">
        <v>0.26100000000000001</v>
      </c>
      <c r="H2" s="8">
        <v>4.1000000000000002E-2</v>
      </c>
      <c r="I2" s="8">
        <v>0.04</v>
      </c>
      <c r="J2" s="8">
        <v>4.1000000000000002E-2</v>
      </c>
      <c r="K2" s="8">
        <v>4.2000000000000003E-2</v>
      </c>
      <c r="L2" s="8">
        <v>4.2000000000000003E-2</v>
      </c>
      <c r="M2" s="8">
        <v>4.2999999999999997E-2</v>
      </c>
    </row>
    <row r="3" spans="1:13" x14ac:dyDescent="0.35">
      <c r="A3" s="7" t="s">
        <v>15</v>
      </c>
      <c r="B3" s="8">
        <v>0.16800000000000001</v>
      </c>
      <c r="C3" s="8">
        <v>0.13900000000000001</v>
      </c>
      <c r="D3" s="8">
        <v>0.14199999999999999</v>
      </c>
      <c r="E3" s="8">
        <v>0.55500000000000005</v>
      </c>
      <c r="F3" s="8">
        <v>0.53900000000000003</v>
      </c>
      <c r="G3" s="8">
        <v>0.622</v>
      </c>
      <c r="H3" s="8">
        <v>4.1000000000000002E-2</v>
      </c>
      <c r="I3" s="8">
        <v>0.04</v>
      </c>
      <c r="J3" s="8">
        <v>0.04</v>
      </c>
      <c r="K3" s="8">
        <v>4.2999999999999997E-2</v>
      </c>
      <c r="L3" s="8">
        <v>4.8000000000000001E-2</v>
      </c>
      <c r="M3" s="8">
        <v>4.2000000000000003E-2</v>
      </c>
    </row>
    <row r="4" spans="1:13" x14ac:dyDescent="0.35">
      <c r="A4" s="7" t="s">
        <v>17</v>
      </c>
      <c r="B4" s="8">
        <v>0.11</v>
      </c>
      <c r="C4" s="8">
        <v>0.113</v>
      </c>
      <c r="D4" s="8">
        <v>0.11799999999999999</v>
      </c>
      <c r="E4" s="8">
        <v>0.98399999999999999</v>
      </c>
      <c r="F4" s="8">
        <v>1.097</v>
      </c>
      <c r="G4" s="8">
        <v>0.95099999999999996</v>
      </c>
      <c r="H4" s="8">
        <v>3.9E-2</v>
      </c>
      <c r="I4" s="8">
        <v>0.04</v>
      </c>
      <c r="J4" s="8">
        <v>0.04</v>
      </c>
      <c r="K4" s="8">
        <v>4.3999999999999997E-2</v>
      </c>
      <c r="L4" s="8">
        <v>4.5999999999999999E-2</v>
      </c>
      <c r="M4" s="8">
        <v>4.4999999999999998E-2</v>
      </c>
    </row>
    <row r="5" spans="1:13" x14ac:dyDescent="0.35">
      <c r="A5" s="7" t="s">
        <v>18</v>
      </c>
      <c r="B5" s="8">
        <v>7.4999999999999997E-2</v>
      </c>
      <c r="C5" s="8">
        <v>8.8999999999999996E-2</v>
      </c>
      <c r="D5" s="8">
        <v>7.4999999999999997E-2</v>
      </c>
      <c r="E5" s="8">
        <v>4.7E-2</v>
      </c>
      <c r="F5" s="8">
        <v>4.7E-2</v>
      </c>
      <c r="G5" s="8">
        <v>4.7E-2</v>
      </c>
      <c r="H5" s="8">
        <v>3.9E-2</v>
      </c>
      <c r="I5" s="8">
        <v>3.9E-2</v>
      </c>
      <c r="J5" s="8">
        <v>3.9E-2</v>
      </c>
      <c r="K5" s="8">
        <v>4.8000000000000001E-2</v>
      </c>
      <c r="L5" s="8">
        <v>4.7E-2</v>
      </c>
      <c r="M5" s="8">
        <v>4.7E-2</v>
      </c>
    </row>
    <row r="6" spans="1:13" x14ac:dyDescent="0.35">
      <c r="A6" s="7" t="s">
        <v>19</v>
      </c>
      <c r="B6" s="8">
        <v>5.8999999999999997E-2</v>
      </c>
      <c r="C6" s="8">
        <v>6.4000000000000001E-2</v>
      </c>
      <c r="D6" s="8">
        <v>5.8999999999999997E-2</v>
      </c>
      <c r="E6" s="8">
        <v>4.7E-2</v>
      </c>
      <c r="F6" s="8">
        <v>4.9000000000000002E-2</v>
      </c>
      <c r="G6" s="8">
        <v>4.7E-2</v>
      </c>
      <c r="H6" s="8">
        <v>3.7999999999999999E-2</v>
      </c>
      <c r="I6" s="8">
        <v>3.7999999999999999E-2</v>
      </c>
      <c r="J6" s="8">
        <v>3.9E-2</v>
      </c>
      <c r="K6" s="8">
        <v>4.7E-2</v>
      </c>
      <c r="L6" s="8">
        <v>4.7E-2</v>
      </c>
      <c r="M6" s="8">
        <v>4.7E-2</v>
      </c>
    </row>
    <row r="7" spans="1:13" x14ac:dyDescent="0.35">
      <c r="A7" s="7" t="s">
        <v>20</v>
      </c>
      <c r="B7" s="8">
        <v>5.0999999999999997E-2</v>
      </c>
      <c r="C7" s="8">
        <v>4.9000000000000002E-2</v>
      </c>
      <c r="D7" s="8">
        <v>5.1999999999999998E-2</v>
      </c>
      <c r="E7" s="8">
        <v>4.7E-2</v>
      </c>
      <c r="F7" s="8">
        <v>4.7E-2</v>
      </c>
      <c r="G7" s="8">
        <v>4.7E-2</v>
      </c>
      <c r="H7" s="8">
        <v>3.7999999999999999E-2</v>
      </c>
      <c r="I7" s="8">
        <v>3.9E-2</v>
      </c>
      <c r="J7" s="8">
        <v>3.7999999999999999E-2</v>
      </c>
      <c r="K7" s="8">
        <v>4.7E-2</v>
      </c>
      <c r="L7" s="8">
        <v>4.7E-2</v>
      </c>
      <c r="M7" s="8">
        <v>4.8000000000000001E-2</v>
      </c>
    </row>
    <row r="8" spans="1:13" x14ac:dyDescent="0.35">
      <c r="A8" s="7" t="s">
        <v>21</v>
      </c>
      <c r="B8" s="8">
        <v>4.3999999999999997E-2</v>
      </c>
      <c r="C8" s="8">
        <v>4.3999999999999997E-2</v>
      </c>
      <c r="D8" s="8">
        <v>4.2999999999999997E-2</v>
      </c>
      <c r="E8" s="8">
        <v>4.7E-2</v>
      </c>
      <c r="F8" s="8">
        <v>4.7E-2</v>
      </c>
      <c r="G8" s="8">
        <v>4.7E-2</v>
      </c>
      <c r="H8" s="8">
        <v>3.7999999999999999E-2</v>
      </c>
      <c r="I8" s="8">
        <v>3.7999999999999999E-2</v>
      </c>
      <c r="J8" s="8">
        <v>0.04</v>
      </c>
      <c r="K8" s="8">
        <v>4.7E-2</v>
      </c>
      <c r="L8" s="8">
        <v>4.7E-2</v>
      </c>
      <c r="M8" s="8">
        <v>4.7E-2</v>
      </c>
    </row>
    <row r="9" spans="1:13" x14ac:dyDescent="0.35">
      <c r="A9" s="7" t="s">
        <v>22</v>
      </c>
      <c r="B9" s="8">
        <v>3.7999999999999999E-2</v>
      </c>
      <c r="C9" s="8">
        <v>3.9E-2</v>
      </c>
      <c r="D9" s="8">
        <v>3.7999999999999999E-2</v>
      </c>
      <c r="E9" s="8">
        <v>3.6999999999999998E-2</v>
      </c>
      <c r="F9" s="8">
        <v>3.7999999999999999E-2</v>
      </c>
      <c r="G9" s="8">
        <v>3.6999999999999998E-2</v>
      </c>
      <c r="H9" s="8">
        <v>3.7999999999999999E-2</v>
      </c>
      <c r="I9" s="8">
        <v>3.7999999999999999E-2</v>
      </c>
      <c r="J9" s="8">
        <v>3.9E-2</v>
      </c>
      <c r="K9" s="8">
        <v>3.6999999999999998E-2</v>
      </c>
      <c r="L9" s="8">
        <v>3.7999999999999999E-2</v>
      </c>
      <c r="M9" s="8">
        <v>3.6999999999999998E-2</v>
      </c>
    </row>
    <row r="11" spans="1:13" x14ac:dyDescent="0.35">
      <c r="A11" s="6" t="s">
        <v>5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</row>
    <row r="12" spans="1:13" x14ac:dyDescent="0.35">
      <c r="A12" s="7" t="s">
        <v>14</v>
      </c>
      <c r="B12" s="8">
        <v>0.32500000000000001</v>
      </c>
      <c r="C12" s="8">
        <v>0.315</v>
      </c>
      <c r="D12" s="8">
        <v>0.29499999999999998</v>
      </c>
      <c r="E12" s="8">
        <v>0.48399999999999999</v>
      </c>
      <c r="F12" s="8">
        <v>0.433</v>
      </c>
      <c r="G12" s="8">
        <v>0.41699999999999998</v>
      </c>
      <c r="H12" s="8">
        <v>0.16700000000000001</v>
      </c>
      <c r="I12" s="8">
        <v>0.17199999999999999</v>
      </c>
      <c r="J12" s="8">
        <v>0.16900000000000001</v>
      </c>
      <c r="K12" s="8">
        <v>0.24099999999999999</v>
      </c>
      <c r="L12" s="8">
        <v>0.247</v>
      </c>
      <c r="M12" s="8">
        <v>0.219</v>
      </c>
    </row>
    <row r="13" spans="1:13" x14ac:dyDescent="0.35">
      <c r="A13" s="7" t="s">
        <v>15</v>
      </c>
      <c r="B13" s="8">
        <v>0.252</v>
      </c>
      <c r="C13" s="8">
        <v>0.224</v>
      </c>
      <c r="D13" s="8">
        <v>0.23799999999999999</v>
      </c>
      <c r="E13" s="8">
        <v>0.71699999999999997</v>
      </c>
      <c r="F13" s="8">
        <v>0.63500000000000001</v>
      </c>
      <c r="G13" s="8">
        <v>0.84</v>
      </c>
      <c r="H13" s="8">
        <v>0.129</v>
      </c>
      <c r="I13" s="8">
        <v>0.15</v>
      </c>
      <c r="J13" s="8">
        <v>0.14599999999999999</v>
      </c>
      <c r="K13" s="8">
        <v>0.32200000000000001</v>
      </c>
      <c r="L13" s="8">
        <v>0.29099999999999998</v>
      </c>
      <c r="M13" s="8">
        <v>0.26300000000000001</v>
      </c>
    </row>
    <row r="14" spans="1:13" x14ac:dyDescent="0.35">
      <c r="A14" s="7" t="s">
        <v>17</v>
      </c>
      <c r="B14" s="8">
        <v>0.182</v>
      </c>
      <c r="C14" s="8">
        <v>0.18</v>
      </c>
      <c r="D14" s="8">
        <v>0.16900000000000001</v>
      </c>
      <c r="E14" s="8">
        <v>1.0469999999999999</v>
      </c>
      <c r="F14" s="8">
        <v>1.139</v>
      </c>
      <c r="G14" s="8">
        <v>0.96799999999999997</v>
      </c>
      <c r="H14" s="8">
        <v>0.11600000000000001</v>
      </c>
      <c r="I14" s="8">
        <v>0.104</v>
      </c>
      <c r="J14" s="8">
        <v>9.9000000000000005E-2</v>
      </c>
      <c r="K14" s="8">
        <v>0.32</v>
      </c>
      <c r="L14" s="8">
        <v>0.31</v>
      </c>
      <c r="M14" s="8">
        <v>0.26100000000000001</v>
      </c>
    </row>
    <row r="15" spans="1:13" x14ac:dyDescent="0.35">
      <c r="A15" s="7" t="s">
        <v>18</v>
      </c>
      <c r="B15" s="8">
        <v>0.12</v>
      </c>
      <c r="C15" s="8">
        <v>0.124</v>
      </c>
      <c r="D15" s="8">
        <v>0.115</v>
      </c>
      <c r="E15" s="8">
        <v>1.1439999999999999</v>
      </c>
      <c r="F15" s="8">
        <v>1.01</v>
      </c>
      <c r="G15" s="8">
        <v>0.84299999999999997</v>
      </c>
      <c r="H15" s="8">
        <v>0.08</v>
      </c>
      <c r="I15" s="8">
        <v>8.5999999999999993E-2</v>
      </c>
      <c r="J15" s="8">
        <v>9.0999999999999998E-2</v>
      </c>
      <c r="K15" s="8">
        <v>4.8000000000000001E-2</v>
      </c>
      <c r="L15" s="8">
        <v>4.7E-2</v>
      </c>
      <c r="M15" s="8">
        <v>4.7E-2</v>
      </c>
    </row>
    <row r="16" spans="1:13" x14ac:dyDescent="0.35">
      <c r="A16" s="7" t="s">
        <v>19</v>
      </c>
      <c r="B16" s="8">
        <v>7.9000000000000001E-2</v>
      </c>
      <c r="C16" s="8">
        <v>8.5000000000000006E-2</v>
      </c>
      <c r="D16" s="8">
        <v>7.2999999999999995E-2</v>
      </c>
      <c r="E16" s="8">
        <v>1.0840000000000001</v>
      </c>
      <c r="F16" s="8">
        <v>1.583</v>
      </c>
      <c r="G16" s="8">
        <v>1.325</v>
      </c>
      <c r="H16" s="8">
        <v>5.8999999999999997E-2</v>
      </c>
      <c r="I16" s="8">
        <v>0.06</v>
      </c>
      <c r="J16" s="8">
        <v>0.06</v>
      </c>
      <c r="K16" s="8">
        <v>4.7E-2</v>
      </c>
      <c r="L16" s="8">
        <v>4.8000000000000001E-2</v>
      </c>
      <c r="M16" s="8">
        <v>4.7E-2</v>
      </c>
    </row>
    <row r="17" spans="1:13" x14ac:dyDescent="0.35">
      <c r="A17" s="7" t="s">
        <v>20</v>
      </c>
      <c r="B17" s="8">
        <v>6.5000000000000002E-2</v>
      </c>
      <c r="C17" s="8">
        <v>6.6000000000000003E-2</v>
      </c>
      <c r="D17" s="8">
        <v>5.8000000000000003E-2</v>
      </c>
      <c r="E17" s="8">
        <v>1.3109999999999999</v>
      </c>
      <c r="F17" s="8">
        <v>0.92800000000000005</v>
      </c>
      <c r="G17" s="8">
        <v>1.3420000000000001</v>
      </c>
      <c r="H17" s="8">
        <v>0.06</v>
      </c>
      <c r="I17" s="8">
        <v>5.7000000000000002E-2</v>
      </c>
      <c r="J17" s="8">
        <v>5.5E-2</v>
      </c>
      <c r="K17" s="8">
        <v>4.7E-2</v>
      </c>
      <c r="L17" s="8">
        <v>4.7E-2</v>
      </c>
      <c r="M17" s="8">
        <v>4.8000000000000001E-2</v>
      </c>
    </row>
    <row r="18" spans="1:13" x14ac:dyDescent="0.35">
      <c r="A18" s="7" t="s">
        <v>21</v>
      </c>
      <c r="B18" s="8">
        <v>0.05</v>
      </c>
      <c r="C18" s="8">
        <v>5.0999999999999997E-2</v>
      </c>
      <c r="D18" s="8">
        <v>0.05</v>
      </c>
      <c r="E18" s="8">
        <v>1.4970000000000001</v>
      </c>
      <c r="F18" s="8">
        <v>1.407</v>
      </c>
      <c r="G18" s="8">
        <v>1.4530000000000001</v>
      </c>
      <c r="H18" s="8">
        <v>4.4999999999999998E-2</v>
      </c>
      <c r="I18" s="8">
        <v>4.5999999999999999E-2</v>
      </c>
      <c r="J18" s="8">
        <v>4.9000000000000002E-2</v>
      </c>
      <c r="K18" s="8">
        <v>4.7E-2</v>
      </c>
      <c r="L18" s="8">
        <v>4.7E-2</v>
      </c>
      <c r="M18" s="8">
        <v>4.7E-2</v>
      </c>
    </row>
    <row r="19" spans="1:13" x14ac:dyDescent="0.35">
      <c r="A19" s="7" t="s">
        <v>22</v>
      </c>
      <c r="B19" s="8">
        <v>4.2000000000000003E-2</v>
      </c>
      <c r="C19" s="8">
        <v>4.2000000000000003E-2</v>
      </c>
      <c r="D19" s="8">
        <v>0.04</v>
      </c>
      <c r="E19" s="8">
        <v>3.7999999999999999E-2</v>
      </c>
      <c r="F19" s="8">
        <v>3.7999999999999999E-2</v>
      </c>
      <c r="G19" s="8">
        <v>3.7999999999999999E-2</v>
      </c>
      <c r="H19" s="8">
        <v>0.04</v>
      </c>
      <c r="I19" s="8">
        <v>3.9E-2</v>
      </c>
      <c r="J19" s="8">
        <v>0.04</v>
      </c>
      <c r="K19" s="8">
        <v>3.7999999999999999E-2</v>
      </c>
      <c r="L19" s="8">
        <v>3.7999999999999999E-2</v>
      </c>
      <c r="M19" s="8">
        <v>3.7999999999999999E-2</v>
      </c>
    </row>
    <row r="21" spans="1:13" x14ac:dyDescent="0.35">
      <c r="A21" s="9" t="s">
        <v>23</v>
      </c>
      <c r="B21" s="10">
        <v>1</v>
      </c>
      <c r="C21" s="10">
        <v>2</v>
      </c>
      <c r="D21" s="10">
        <v>3</v>
      </c>
      <c r="E21" s="10">
        <v>4</v>
      </c>
      <c r="F21" s="10">
        <v>5</v>
      </c>
      <c r="G21" s="10">
        <v>6</v>
      </c>
      <c r="H21" s="10">
        <v>7</v>
      </c>
      <c r="I21" s="10">
        <v>8</v>
      </c>
      <c r="J21" s="10">
        <v>9</v>
      </c>
      <c r="K21" s="10">
        <v>10</v>
      </c>
      <c r="L21" s="10">
        <v>11</v>
      </c>
      <c r="M21" s="10">
        <v>12</v>
      </c>
    </row>
    <row r="22" spans="1:13" x14ac:dyDescent="0.35">
      <c r="A22" s="10" t="s">
        <v>14</v>
      </c>
      <c r="B22" s="11" t="s">
        <v>24</v>
      </c>
      <c r="C22" s="11" t="s">
        <v>24</v>
      </c>
      <c r="D22" s="11" t="s">
        <v>24</v>
      </c>
      <c r="E22" s="12" t="s">
        <v>25</v>
      </c>
      <c r="F22" s="12" t="s">
        <v>25</v>
      </c>
      <c r="G22" s="12" t="s">
        <v>25</v>
      </c>
      <c r="H22" s="12" t="s">
        <v>26</v>
      </c>
      <c r="I22" s="12" t="s">
        <v>26</v>
      </c>
      <c r="J22" s="12" t="s">
        <v>26</v>
      </c>
      <c r="K22" s="12" t="s">
        <v>27</v>
      </c>
      <c r="L22" s="12" t="s">
        <v>27</v>
      </c>
      <c r="M22" s="12" t="s">
        <v>27</v>
      </c>
    </row>
    <row r="23" spans="1:13" x14ac:dyDescent="0.35">
      <c r="A23" s="10" t="s">
        <v>15</v>
      </c>
      <c r="B23" s="13" t="s">
        <v>28</v>
      </c>
      <c r="C23" s="14" t="s">
        <v>28</v>
      </c>
      <c r="D23" s="14" t="s">
        <v>28</v>
      </c>
      <c r="E23" s="12" t="s">
        <v>29</v>
      </c>
      <c r="F23" s="12" t="s">
        <v>29</v>
      </c>
      <c r="G23" s="12" t="s">
        <v>29</v>
      </c>
      <c r="H23" s="15" t="s">
        <v>30</v>
      </c>
      <c r="I23" s="16" t="s">
        <v>30</v>
      </c>
      <c r="J23" t="s">
        <v>30</v>
      </c>
      <c r="K23" s="12" t="s">
        <v>31</v>
      </c>
      <c r="L23" s="12" t="s">
        <v>31</v>
      </c>
      <c r="M23" s="12" t="s">
        <v>31</v>
      </c>
    </row>
    <row r="24" spans="1:13" x14ac:dyDescent="0.35">
      <c r="A24" s="10" t="s">
        <v>17</v>
      </c>
      <c r="B24" s="11" t="s">
        <v>32</v>
      </c>
      <c r="C24" s="11" t="s">
        <v>32</v>
      </c>
      <c r="D24" s="11" t="s">
        <v>32</v>
      </c>
      <c r="E24" s="12" t="s">
        <v>33</v>
      </c>
      <c r="F24" s="12" t="s">
        <v>33</v>
      </c>
      <c r="G24" s="12" t="s">
        <v>33</v>
      </c>
      <c r="H24" s="12" t="s">
        <v>34</v>
      </c>
      <c r="I24" s="12" t="s">
        <v>34</v>
      </c>
      <c r="J24" s="12" t="s">
        <v>34</v>
      </c>
      <c r="K24" s="12" t="s">
        <v>35</v>
      </c>
      <c r="L24" s="12" t="s">
        <v>35</v>
      </c>
      <c r="M24" s="12" t="s">
        <v>35</v>
      </c>
    </row>
    <row r="25" spans="1:13" x14ac:dyDescent="0.35">
      <c r="A25" s="10" t="s">
        <v>18</v>
      </c>
      <c r="B25" s="11" t="s">
        <v>36</v>
      </c>
      <c r="C25" s="11" t="s">
        <v>36</v>
      </c>
      <c r="D25" s="11" t="s">
        <v>36</v>
      </c>
      <c r="E25" s="12"/>
      <c r="F25" s="12"/>
      <c r="G25" s="12"/>
      <c r="H25" s="17" t="s">
        <v>37</v>
      </c>
      <c r="I25" s="17" t="s">
        <v>37</v>
      </c>
      <c r="J25" s="17" t="s">
        <v>37</v>
      </c>
      <c r="K25" s="17" t="s">
        <v>38</v>
      </c>
      <c r="L25" s="17" t="s">
        <v>38</v>
      </c>
      <c r="M25" s="17" t="s">
        <v>38</v>
      </c>
    </row>
    <row r="26" spans="1:13" x14ac:dyDescent="0.35">
      <c r="A26" s="10" t="s">
        <v>19</v>
      </c>
      <c r="B26" s="11" t="s">
        <v>39</v>
      </c>
      <c r="C26" s="11" t="s">
        <v>39</v>
      </c>
      <c r="D26" s="11" t="s">
        <v>39</v>
      </c>
      <c r="E26" s="12"/>
      <c r="F26" s="12"/>
      <c r="G26" s="18"/>
      <c r="H26" s="19" t="s">
        <v>16</v>
      </c>
      <c r="I26" s="19" t="s">
        <v>16</v>
      </c>
      <c r="J26" s="19" t="s">
        <v>16</v>
      </c>
      <c r="K26" s="20"/>
      <c r="L26" s="20"/>
      <c r="M26" s="20"/>
    </row>
    <row r="27" spans="1:13" x14ac:dyDescent="0.35">
      <c r="A27" s="10" t="s">
        <v>20</v>
      </c>
      <c r="B27" s="11" t="s">
        <v>40</v>
      </c>
      <c r="C27" s="11" t="s">
        <v>40</v>
      </c>
      <c r="D27" s="11" t="s">
        <v>40</v>
      </c>
      <c r="E27" s="12"/>
      <c r="F27" s="12"/>
      <c r="G27" s="12"/>
      <c r="H27" s="21" t="s">
        <v>41</v>
      </c>
      <c r="I27" s="21" t="s">
        <v>41</v>
      </c>
      <c r="J27" s="21" t="s">
        <v>41</v>
      </c>
      <c r="K27" s="21"/>
      <c r="L27" s="21"/>
      <c r="M27" s="21"/>
    </row>
    <row r="28" spans="1:13" x14ac:dyDescent="0.35">
      <c r="A28" s="10" t="s">
        <v>21</v>
      </c>
      <c r="B28" s="11" t="s">
        <v>42</v>
      </c>
      <c r="C28" s="11" t="s">
        <v>42</v>
      </c>
      <c r="D28" s="11" t="s">
        <v>42</v>
      </c>
      <c r="E28" s="12"/>
      <c r="F28" s="12"/>
      <c r="G28" s="12"/>
      <c r="H28" s="12" t="s">
        <v>43</v>
      </c>
      <c r="I28" s="12" t="s">
        <v>43</v>
      </c>
      <c r="J28" s="12" t="s">
        <v>43</v>
      </c>
      <c r="K28" s="12"/>
      <c r="L28" s="12"/>
      <c r="M28" s="12"/>
    </row>
    <row r="29" spans="1:13" x14ac:dyDescent="0.35">
      <c r="A29" s="10" t="s">
        <v>22</v>
      </c>
      <c r="B29" s="11" t="s">
        <v>44</v>
      </c>
      <c r="C29" s="11" t="s">
        <v>44</v>
      </c>
      <c r="D29" s="11" t="s">
        <v>44</v>
      </c>
      <c r="E29" s="12" t="s">
        <v>45</v>
      </c>
      <c r="F29" s="12" t="s">
        <v>45</v>
      </c>
      <c r="G29" s="12" t="s">
        <v>45</v>
      </c>
      <c r="H29" s="12" t="s">
        <v>46</v>
      </c>
      <c r="I29" s="12" t="s">
        <v>46</v>
      </c>
      <c r="J29" s="12" t="s">
        <v>46</v>
      </c>
      <c r="K29" s="12" t="s">
        <v>45</v>
      </c>
      <c r="L29" s="12" t="s">
        <v>45</v>
      </c>
      <c r="M29" s="12" t="s">
        <v>45</v>
      </c>
    </row>
    <row r="31" spans="1:13" x14ac:dyDescent="0.35">
      <c r="A31" s="9" t="s">
        <v>47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0" t="s">
        <v>14</v>
      </c>
      <c r="B32" s="12">
        <v>1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35">
      <c r="A33" s="10" t="s">
        <v>15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35">
      <c r="A34" s="10" t="s">
        <v>17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35">
      <c r="A35" s="10" t="s">
        <v>18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35">
      <c r="A36" s="10" t="s">
        <v>19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35">
      <c r="A37" s="10" t="s">
        <v>20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35">
      <c r="A38" s="10" t="s">
        <v>21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35">
      <c r="A39" s="10" t="s">
        <v>22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  <row r="41" spans="1:13" x14ac:dyDescent="0.35">
      <c r="A41" s="9" t="s">
        <v>48</v>
      </c>
      <c r="B41" s="10">
        <v>1</v>
      </c>
      <c r="C41" s="10">
        <v>2</v>
      </c>
      <c r="D41" s="10">
        <v>3</v>
      </c>
      <c r="E41" s="10">
        <v>4</v>
      </c>
      <c r="F41" s="10">
        <v>5</v>
      </c>
      <c r="G41" s="10">
        <v>6</v>
      </c>
      <c r="H41" s="10">
        <v>7</v>
      </c>
      <c r="I41" s="10">
        <v>8</v>
      </c>
      <c r="J41" s="10">
        <v>9</v>
      </c>
      <c r="K41" s="10">
        <v>10</v>
      </c>
      <c r="L41" s="10">
        <v>11</v>
      </c>
      <c r="M41" s="10">
        <v>12</v>
      </c>
    </row>
    <row r="42" spans="1:13" x14ac:dyDescent="0.35">
      <c r="A42" s="10" t="s">
        <v>14</v>
      </c>
      <c r="B42" s="11">
        <v>60</v>
      </c>
      <c r="C42" s="11">
        <v>60</v>
      </c>
      <c r="D42" s="11">
        <v>60</v>
      </c>
      <c r="E42" s="12">
        <v>100</v>
      </c>
      <c r="F42" s="12">
        <v>100</v>
      </c>
      <c r="G42" s="12">
        <v>100</v>
      </c>
      <c r="H42" s="22">
        <v>60</v>
      </c>
      <c r="I42" s="22">
        <v>60</v>
      </c>
      <c r="J42" s="22">
        <v>60</v>
      </c>
      <c r="K42" s="12">
        <v>100</v>
      </c>
      <c r="L42" s="12">
        <v>100</v>
      </c>
      <c r="M42" s="12">
        <v>100</v>
      </c>
    </row>
    <row r="43" spans="1:13" x14ac:dyDescent="0.35">
      <c r="A43" s="10" t="s">
        <v>15</v>
      </c>
      <c r="B43" s="14">
        <v>45</v>
      </c>
      <c r="C43" s="14">
        <v>45</v>
      </c>
      <c r="D43" s="14">
        <v>45</v>
      </c>
      <c r="E43" s="12">
        <v>250</v>
      </c>
      <c r="F43" s="12">
        <v>250</v>
      </c>
      <c r="G43" s="18">
        <v>250</v>
      </c>
      <c r="H43" s="23">
        <v>45</v>
      </c>
      <c r="I43" s="23">
        <v>45</v>
      </c>
      <c r="J43" s="23">
        <v>45</v>
      </c>
      <c r="K43" s="24">
        <v>250</v>
      </c>
      <c r="L43" s="12">
        <v>250</v>
      </c>
      <c r="M43" s="12">
        <v>250</v>
      </c>
    </row>
    <row r="44" spans="1:13" x14ac:dyDescent="0.35">
      <c r="A44" s="10" t="s">
        <v>17</v>
      </c>
      <c r="B44" s="11">
        <v>30</v>
      </c>
      <c r="C44" s="11">
        <v>30</v>
      </c>
      <c r="D44" s="11">
        <v>30</v>
      </c>
      <c r="E44" s="12">
        <v>500</v>
      </c>
      <c r="F44" s="12">
        <v>500</v>
      </c>
      <c r="G44" s="12">
        <v>500</v>
      </c>
      <c r="H44" s="25">
        <v>30</v>
      </c>
      <c r="I44" s="25">
        <v>30</v>
      </c>
      <c r="J44" s="25">
        <v>30</v>
      </c>
      <c r="K44" s="12">
        <v>500</v>
      </c>
      <c r="L44" s="12">
        <v>500</v>
      </c>
      <c r="M44" s="12">
        <v>500</v>
      </c>
    </row>
    <row r="45" spans="1:13" x14ac:dyDescent="0.35">
      <c r="A45" s="10" t="s">
        <v>18</v>
      </c>
      <c r="B45" s="11">
        <v>18</v>
      </c>
      <c r="C45" s="11">
        <v>18</v>
      </c>
      <c r="D45" s="11">
        <v>18</v>
      </c>
      <c r="E45" s="12"/>
      <c r="F45" s="12"/>
      <c r="G45" s="12"/>
      <c r="H45" s="11">
        <v>18</v>
      </c>
      <c r="I45" s="11">
        <v>18</v>
      </c>
      <c r="J45" s="11">
        <v>18</v>
      </c>
      <c r="K45" s="11">
        <v>9</v>
      </c>
      <c r="L45" s="11">
        <v>9</v>
      </c>
      <c r="M45" s="11">
        <v>9</v>
      </c>
    </row>
    <row r="46" spans="1:13" x14ac:dyDescent="0.35">
      <c r="A46" s="10" t="s">
        <v>19</v>
      </c>
      <c r="B46" s="11">
        <v>9</v>
      </c>
      <c r="C46" s="11">
        <v>9</v>
      </c>
      <c r="D46" s="11">
        <v>9</v>
      </c>
      <c r="E46" s="12"/>
      <c r="F46" s="12"/>
      <c r="G46" s="12"/>
      <c r="H46" s="11"/>
      <c r="I46" s="11"/>
      <c r="J46" s="11"/>
      <c r="K46" s="12"/>
      <c r="L46" s="12"/>
      <c r="M46" s="12"/>
    </row>
    <row r="47" spans="1:13" x14ac:dyDescent="0.35">
      <c r="A47" s="10" t="s">
        <v>20</v>
      </c>
      <c r="B47" s="11">
        <v>6</v>
      </c>
      <c r="C47" s="11">
        <v>6</v>
      </c>
      <c r="D47" s="11">
        <v>6</v>
      </c>
      <c r="E47" s="12"/>
      <c r="F47" s="12"/>
      <c r="G47" s="12"/>
      <c r="H47" s="11">
        <v>6</v>
      </c>
      <c r="I47" s="11">
        <v>6</v>
      </c>
      <c r="J47" s="11">
        <v>6</v>
      </c>
      <c r="K47" s="12"/>
      <c r="L47" s="12"/>
      <c r="M47" s="12"/>
    </row>
    <row r="48" spans="1:13" x14ac:dyDescent="0.35">
      <c r="A48" s="10" t="s">
        <v>21</v>
      </c>
      <c r="B48" s="11">
        <v>3</v>
      </c>
      <c r="C48" s="11">
        <v>3</v>
      </c>
      <c r="D48" s="11">
        <v>3</v>
      </c>
      <c r="E48" s="12"/>
      <c r="F48" s="12"/>
      <c r="G48" s="12"/>
      <c r="H48" s="11">
        <v>3</v>
      </c>
      <c r="I48" s="11">
        <v>3</v>
      </c>
      <c r="J48" s="11">
        <v>3</v>
      </c>
      <c r="K48" s="12"/>
      <c r="L48" s="12"/>
      <c r="M48" s="12"/>
    </row>
    <row r="49" spans="1:13" ht="17.25" customHeight="1" x14ac:dyDescent="0.35">
      <c r="A49" s="10" t="s">
        <v>22</v>
      </c>
      <c r="B49" s="11">
        <v>0.6</v>
      </c>
      <c r="C49" s="11">
        <v>0.6</v>
      </c>
      <c r="D49" s="11">
        <v>0.6</v>
      </c>
      <c r="E49" s="12">
        <v>0</v>
      </c>
      <c r="F49" s="12">
        <v>0</v>
      </c>
      <c r="G49" s="12">
        <v>0</v>
      </c>
      <c r="H49" s="11">
        <v>0.6</v>
      </c>
      <c r="I49" s="11">
        <v>0.6</v>
      </c>
      <c r="J49" s="11">
        <v>0.6</v>
      </c>
      <c r="K49" s="12">
        <v>0</v>
      </c>
      <c r="L49" s="12">
        <v>0</v>
      </c>
      <c r="M49" s="12">
        <v>0</v>
      </c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14AA-1B10-49A7-B237-9F90E87BCA52}">
  <dimension ref="A1:M39"/>
  <sheetViews>
    <sheetView zoomScale="80" zoomScaleNormal="80" workbookViewId="0">
      <selection activeCell="O15" sqref="O15"/>
    </sheetView>
  </sheetViews>
  <sheetFormatPr defaultRowHeight="14.5" x14ac:dyDescent="0.35"/>
  <cols>
    <col min="1" max="1" width="11.26953125" customWidth="1"/>
    <col min="5" max="5" width="17" customWidth="1"/>
    <col min="6" max="7" width="19.54296875" customWidth="1"/>
    <col min="8" max="10" width="20.26953125" customWidth="1"/>
    <col min="11" max="13" width="16.81640625" customWidth="1"/>
  </cols>
  <sheetData>
    <row r="1" spans="1:13" x14ac:dyDescent="0.35">
      <c r="A1" s="6" t="s">
        <v>4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x14ac:dyDescent="0.35">
      <c r="A2" s="7" t="s">
        <v>14</v>
      </c>
      <c r="B2" s="8">
        <v>0.17699999999999999</v>
      </c>
      <c r="C2" s="8">
        <v>0.17599999999999999</v>
      </c>
      <c r="D2" s="8">
        <v>0.184</v>
      </c>
      <c r="E2" s="8">
        <v>3.7999999999999999E-2</v>
      </c>
      <c r="F2" s="8">
        <v>3.9E-2</v>
      </c>
      <c r="G2" s="8">
        <v>3.9E-2</v>
      </c>
      <c r="H2" s="8">
        <v>5.7000000000000002E-2</v>
      </c>
      <c r="I2" s="8">
        <v>5.5E-2</v>
      </c>
      <c r="J2" s="8">
        <v>5.7000000000000002E-2</v>
      </c>
      <c r="K2" s="8">
        <v>4.9000000000000002E-2</v>
      </c>
      <c r="L2" s="8">
        <v>4.8000000000000001E-2</v>
      </c>
      <c r="M2" s="8">
        <v>4.8000000000000001E-2</v>
      </c>
    </row>
    <row r="3" spans="1:13" x14ac:dyDescent="0.35">
      <c r="A3" s="7" t="s">
        <v>15</v>
      </c>
      <c r="B3" s="8">
        <v>5.1999999999999998E-2</v>
      </c>
      <c r="C3" s="8">
        <v>6.0999999999999999E-2</v>
      </c>
      <c r="D3" s="8">
        <v>0.06</v>
      </c>
      <c r="E3" s="8">
        <v>4.2000000000000003E-2</v>
      </c>
      <c r="F3" s="8">
        <v>4.1000000000000002E-2</v>
      </c>
      <c r="G3" s="8">
        <v>4.1000000000000002E-2</v>
      </c>
      <c r="H3" s="8">
        <v>4.1000000000000002E-2</v>
      </c>
      <c r="I3" s="8">
        <v>0.04</v>
      </c>
      <c r="J3" s="8">
        <v>0.04</v>
      </c>
      <c r="K3" s="8">
        <v>4.3999999999999997E-2</v>
      </c>
      <c r="L3" s="8">
        <v>4.3999999999999997E-2</v>
      </c>
      <c r="M3" s="8">
        <v>4.3999999999999997E-2</v>
      </c>
    </row>
    <row r="4" spans="1:13" x14ac:dyDescent="0.35">
      <c r="A4" s="7" t="s">
        <v>17</v>
      </c>
      <c r="B4" s="8">
        <v>3.7999999999999999E-2</v>
      </c>
      <c r="C4" s="8">
        <v>3.7999999999999999E-2</v>
      </c>
      <c r="D4" s="8">
        <v>3.7999999999999999E-2</v>
      </c>
      <c r="E4" s="8">
        <v>3.9E-2</v>
      </c>
      <c r="F4" s="8">
        <v>3.9E-2</v>
      </c>
      <c r="G4" s="8">
        <v>3.9E-2</v>
      </c>
      <c r="H4" s="8">
        <v>4.3999999999999997E-2</v>
      </c>
      <c r="I4" s="8">
        <v>4.2999999999999997E-2</v>
      </c>
      <c r="J4" s="8">
        <v>4.3999999999999997E-2</v>
      </c>
      <c r="K4" s="8">
        <v>6.8000000000000005E-2</v>
      </c>
      <c r="L4" s="8">
        <v>6.6000000000000003E-2</v>
      </c>
      <c r="M4" s="8">
        <v>6.6000000000000003E-2</v>
      </c>
    </row>
    <row r="5" spans="1:13" x14ac:dyDescent="0.35">
      <c r="A5" s="7" t="s">
        <v>18</v>
      </c>
      <c r="B5" s="8">
        <v>3.6999999999999998E-2</v>
      </c>
      <c r="C5" s="8">
        <v>3.6999999999999998E-2</v>
      </c>
      <c r="D5" s="8">
        <v>3.6999999999999998E-2</v>
      </c>
      <c r="E5" s="8">
        <v>4.3999999999999997E-2</v>
      </c>
      <c r="F5" s="8">
        <v>4.3999999999999997E-2</v>
      </c>
      <c r="G5" s="8">
        <v>4.9000000000000002E-2</v>
      </c>
      <c r="H5" s="8">
        <v>4.3999999999999997E-2</v>
      </c>
      <c r="I5" s="8">
        <v>4.3999999999999997E-2</v>
      </c>
      <c r="J5" s="8">
        <v>4.3999999999999997E-2</v>
      </c>
      <c r="K5" s="8">
        <v>4.7E-2</v>
      </c>
      <c r="L5" s="8">
        <v>4.7E-2</v>
      </c>
      <c r="M5" s="8">
        <v>4.7E-2</v>
      </c>
    </row>
    <row r="6" spans="1:13" x14ac:dyDescent="0.35">
      <c r="A6" s="7" t="s">
        <v>19</v>
      </c>
      <c r="B6" s="8">
        <v>0.04</v>
      </c>
      <c r="C6" s="8">
        <v>0.04</v>
      </c>
      <c r="D6" s="8">
        <v>0.04</v>
      </c>
      <c r="E6" s="8">
        <v>0.04</v>
      </c>
      <c r="F6" s="8">
        <v>4.1000000000000002E-2</v>
      </c>
      <c r="G6" s="8">
        <v>3.9E-2</v>
      </c>
      <c r="H6" s="8">
        <v>5.0999999999999997E-2</v>
      </c>
      <c r="I6" s="8">
        <v>4.9000000000000002E-2</v>
      </c>
      <c r="J6" s="8">
        <v>0.05</v>
      </c>
      <c r="K6" s="8">
        <v>4.7E-2</v>
      </c>
      <c r="L6" s="8">
        <v>4.8000000000000001E-2</v>
      </c>
      <c r="M6" s="8">
        <v>4.7E-2</v>
      </c>
    </row>
    <row r="7" spans="1:13" x14ac:dyDescent="0.35">
      <c r="A7" s="7" t="s">
        <v>20</v>
      </c>
      <c r="B7" s="8">
        <v>3.9E-2</v>
      </c>
      <c r="C7" s="8">
        <v>3.7999999999999999E-2</v>
      </c>
      <c r="D7" s="8">
        <v>3.7999999999999999E-2</v>
      </c>
      <c r="E7" s="8">
        <v>3.9E-2</v>
      </c>
      <c r="F7" s="8">
        <v>3.7999999999999999E-2</v>
      </c>
      <c r="G7" s="8">
        <v>3.7999999999999999E-2</v>
      </c>
      <c r="H7" s="8">
        <v>0.123</v>
      </c>
      <c r="I7" s="8">
        <v>0.13700000000000001</v>
      </c>
      <c r="J7" s="8">
        <v>0.129</v>
      </c>
      <c r="K7" s="8">
        <v>4.7E-2</v>
      </c>
      <c r="L7" s="8">
        <v>4.8000000000000001E-2</v>
      </c>
      <c r="M7" s="8">
        <v>4.8000000000000001E-2</v>
      </c>
    </row>
    <row r="8" spans="1:13" x14ac:dyDescent="0.35">
      <c r="A8" s="7" t="s">
        <v>21</v>
      </c>
      <c r="B8" s="8">
        <v>3.7999999999999999E-2</v>
      </c>
      <c r="C8" s="8">
        <v>3.7999999999999999E-2</v>
      </c>
      <c r="D8" s="8">
        <v>3.7999999999999999E-2</v>
      </c>
      <c r="E8" s="8">
        <v>3.9E-2</v>
      </c>
      <c r="F8" s="8">
        <v>3.9E-2</v>
      </c>
      <c r="G8" s="8">
        <v>3.9E-2</v>
      </c>
      <c r="H8" s="8">
        <v>4.8000000000000001E-2</v>
      </c>
      <c r="I8" s="8">
        <v>4.8000000000000001E-2</v>
      </c>
      <c r="J8" s="8">
        <v>5.7000000000000002E-2</v>
      </c>
      <c r="K8" s="8">
        <v>4.7E-2</v>
      </c>
      <c r="L8" s="8">
        <v>4.7E-2</v>
      </c>
      <c r="M8" s="8">
        <v>4.7E-2</v>
      </c>
    </row>
    <row r="9" spans="1:13" x14ac:dyDescent="0.35">
      <c r="A9" s="7" t="s">
        <v>22</v>
      </c>
      <c r="B9" s="8">
        <v>3.7999999999999999E-2</v>
      </c>
      <c r="C9" s="8">
        <v>3.7999999999999999E-2</v>
      </c>
      <c r="D9" s="8">
        <v>3.7999999999999999E-2</v>
      </c>
      <c r="E9" s="8">
        <v>0.05</v>
      </c>
      <c r="F9" s="8">
        <v>4.8000000000000001E-2</v>
      </c>
      <c r="G9" s="8">
        <v>4.8000000000000001E-2</v>
      </c>
      <c r="H9" s="8">
        <v>7.9000000000000001E-2</v>
      </c>
      <c r="I9" s="8">
        <v>7.6999999999999999E-2</v>
      </c>
      <c r="J9" s="8">
        <v>7.6999999999999999E-2</v>
      </c>
      <c r="K9" s="8">
        <v>4.7E-2</v>
      </c>
      <c r="L9" s="8">
        <v>4.7E-2</v>
      </c>
      <c r="M9" s="8">
        <v>4.7E-2</v>
      </c>
    </row>
    <row r="11" spans="1:13" x14ac:dyDescent="0.35">
      <c r="A11" s="6" t="s">
        <v>5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</row>
    <row r="12" spans="1:13" x14ac:dyDescent="0.35">
      <c r="A12" s="7" t="s">
        <v>14</v>
      </c>
      <c r="B12" s="8">
        <v>0.4</v>
      </c>
      <c r="C12" s="8">
        <v>0.3</v>
      </c>
      <c r="D12" s="8">
        <v>0.29399999999999998</v>
      </c>
      <c r="E12" s="8">
        <v>4.3999999999999997E-2</v>
      </c>
      <c r="F12" s="8">
        <v>4.3999999999999997E-2</v>
      </c>
      <c r="G12" s="8">
        <v>4.3999999999999997E-2</v>
      </c>
      <c r="H12" s="8">
        <v>6.4000000000000001E-2</v>
      </c>
      <c r="I12" s="8">
        <v>5.8000000000000003E-2</v>
      </c>
      <c r="J12" s="8">
        <v>0.06</v>
      </c>
      <c r="K12" s="8">
        <v>5.0999999999999997E-2</v>
      </c>
      <c r="L12" s="8">
        <v>0.05</v>
      </c>
      <c r="M12" s="8">
        <v>4.9000000000000002E-2</v>
      </c>
    </row>
    <row r="13" spans="1:13" x14ac:dyDescent="0.35">
      <c r="A13" s="7" t="s">
        <v>15</v>
      </c>
      <c r="B13" s="8">
        <v>7.0000000000000007E-2</v>
      </c>
      <c r="C13" s="8">
        <v>8.4000000000000005E-2</v>
      </c>
      <c r="D13" s="8">
        <v>7.9000000000000001E-2</v>
      </c>
      <c r="E13" s="8">
        <v>4.2999999999999997E-2</v>
      </c>
      <c r="F13" s="8">
        <v>4.2999999999999997E-2</v>
      </c>
      <c r="G13" s="8">
        <v>4.2999999999999997E-2</v>
      </c>
      <c r="H13" s="8">
        <v>4.9000000000000002E-2</v>
      </c>
      <c r="I13" s="8">
        <v>4.7E-2</v>
      </c>
      <c r="J13" s="8">
        <v>4.7E-2</v>
      </c>
      <c r="K13" s="8">
        <v>4.3999999999999997E-2</v>
      </c>
      <c r="L13" s="8">
        <v>4.4999999999999998E-2</v>
      </c>
      <c r="M13" s="8">
        <v>4.3999999999999997E-2</v>
      </c>
    </row>
    <row r="14" spans="1:13" x14ac:dyDescent="0.35">
      <c r="A14" s="7" t="s">
        <v>17</v>
      </c>
      <c r="B14" s="8">
        <v>0.04</v>
      </c>
      <c r="C14" s="8">
        <v>0.04</v>
      </c>
      <c r="D14" s="8">
        <v>4.1000000000000002E-2</v>
      </c>
      <c r="E14" s="8">
        <v>4.2999999999999997E-2</v>
      </c>
      <c r="F14" s="8">
        <v>4.2000000000000003E-2</v>
      </c>
      <c r="G14" s="8">
        <v>4.2000000000000003E-2</v>
      </c>
      <c r="H14" s="8">
        <v>4.7E-2</v>
      </c>
      <c r="I14" s="8">
        <v>4.7E-2</v>
      </c>
      <c r="J14" s="8">
        <v>4.5999999999999999E-2</v>
      </c>
      <c r="K14" s="8">
        <v>7.2999999999999995E-2</v>
      </c>
      <c r="L14" s="8">
        <v>7.0999999999999994E-2</v>
      </c>
      <c r="M14" s="8">
        <v>7.0999999999999994E-2</v>
      </c>
    </row>
    <row r="15" spans="1:13" x14ac:dyDescent="0.35">
      <c r="A15" s="7" t="s">
        <v>18</v>
      </c>
      <c r="B15" s="8">
        <v>3.7999999999999999E-2</v>
      </c>
      <c r="C15" s="8">
        <v>3.7999999999999999E-2</v>
      </c>
      <c r="D15" s="8">
        <v>3.7999999999999999E-2</v>
      </c>
      <c r="E15" s="8">
        <v>4.7E-2</v>
      </c>
      <c r="F15" s="8">
        <v>4.8000000000000001E-2</v>
      </c>
      <c r="G15" s="8">
        <v>4.7E-2</v>
      </c>
      <c r="H15" s="8">
        <v>4.5999999999999999E-2</v>
      </c>
      <c r="I15" s="8">
        <v>4.9000000000000002E-2</v>
      </c>
      <c r="J15" s="8">
        <v>4.7E-2</v>
      </c>
      <c r="K15" s="8">
        <v>4.8000000000000001E-2</v>
      </c>
      <c r="L15" s="8">
        <v>4.7E-2</v>
      </c>
      <c r="M15" s="8">
        <v>4.7E-2</v>
      </c>
    </row>
    <row r="16" spans="1:13" x14ac:dyDescent="0.35">
      <c r="A16" s="7" t="s">
        <v>19</v>
      </c>
      <c r="B16" s="8">
        <v>0.185</v>
      </c>
      <c r="C16" s="8">
        <v>0.20699999999999999</v>
      </c>
      <c r="D16" s="8">
        <v>0.157</v>
      </c>
      <c r="E16" s="8">
        <v>4.3999999999999997E-2</v>
      </c>
      <c r="F16" s="8">
        <v>4.5999999999999999E-2</v>
      </c>
      <c r="G16" s="8">
        <v>4.2999999999999997E-2</v>
      </c>
      <c r="H16" s="8">
        <v>5.2999999999999999E-2</v>
      </c>
      <c r="I16" s="8">
        <v>0.05</v>
      </c>
      <c r="J16" s="8">
        <v>5.1999999999999998E-2</v>
      </c>
      <c r="K16" s="8">
        <v>4.7E-2</v>
      </c>
      <c r="L16" s="8">
        <v>4.8000000000000001E-2</v>
      </c>
      <c r="M16" s="8">
        <v>4.7E-2</v>
      </c>
    </row>
    <row r="17" spans="1:13" x14ac:dyDescent="0.35">
      <c r="A17" s="7" t="s">
        <v>20</v>
      </c>
      <c r="B17" s="8">
        <v>6.0999999999999999E-2</v>
      </c>
      <c r="C17" s="8">
        <v>0.06</v>
      </c>
      <c r="D17" s="8">
        <v>5.0999999999999997E-2</v>
      </c>
      <c r="E17" s="8">
        <v>4.4999999999999998E-2</v>
      </c>
      <c r="F17" s="8">
        <v>4.2999999999999997E-2</v>
      </c>
      <c r="G17" s="8">
        <v>4.4999999999999998E-2</v>
      </c>
      <c r="H17" s="8">
        <v>0.17599999999999999</v>
      </c>
      <c r="I17" s="8">
        <v>0.20499999999999999</v>
      </c>
      <c r="J17" s="8">
        <v>0.17399999999999999</v>
      </c>
      <c r="K17" s="8">
        <v>4.7E-2</v>
      </c>
      <c r="L17" s="8">
        <v>4.8000000000000001E-2</v>
      </c>
      <c r="M17" s="8">
        <v>4.8000000000000001E-2</v>
      </c>
    </row>
    <row r="18" spans="1:13" x14ac:dyDescent="0.35">
      <c r="A18" s="7" t="s">
        <v>21</v>
      </c>
      <c r="B18" s="8">
        <v>3.9E-2</v>
      </c>
      <c r="C18" s="8">
        <v>4.2000000000000003E-2</v>
      </c>
      <c r="D18" s="8">
        <v>4.1000000000000002E-2</v>
      </c>
      <c r="E18" s="8">
        <v>4.2000000000000003E-2</v>
      </c>
      <c r="F18" s="8">
        <v>4.2999999999999997E-2</v>
      </c>
      <c r="G18" s="8">
        <v>4.1000000000000002E-2</v>
      </c>
      <c r="H18" s="8">
        <v>0.04</v>
      </c>
      <c r="I18" s="8">
        <v>0.04</v>
      </c>
      <c r="J18" s="8">
        <v>4.2000000000000003E-2</v>
      </c>
      <c r="K18" s="8">
        <v>4.7E-2</v>
      </c>
      <c r="L18" s="8">
        <v>4.7E-2</v>
      </c>
      <c r="M18" s="8">
        <v>4.8000000000000001E-2</v>
      </c>
    </row>
    <row r="19" spans="1:13" x14ac:dyDescent="0.35">
      <c r="A19" s="7" t="s">
        <v>22</v>
      </c>
      <c r="B19" s="8">
        <v>3.7999999999999999E-2</v>
      </c>
      <c r="C19" s="8">
        <v>3.7999999999999999E-2</v>
      </c>
      <c r="D19" s="8">
        <v>3.7999999999999999E-2</v>
      </c>
      <c r="E19" s="8">
        <v>5.0999999999999997E-2</v>
      </c>
      <c r="F19" s="8">
        <v>4.9000000000000002E-2</v>
      </c>
      <c r="G19" s="8">
        <v>8.2000000000000003E-2</v>
      </c>
      <c r="H19" s="8">
        <v>0.1</v>
      </c>
      <c r="I19" s="8">
        <v>9.6000000000000002E-2</v>
      </c>
      <c r="J19" s="8">
        <v>9.6000000000000002E-2</v>
      </c>
      <c r="K19" s="8">
        <v>4.7E-2</v>
      </c>
      <c r="L19" s="8">
        <v>4.7E-2</v>
      </c>
      <c r="M19" s="8">
        <v>4.7E-2</v>
      </c>
    </row>
    <row r="21" spans="1:13" x14ac:dyDescent="0.35">
      <c r="A21" s="9" t="s">
        <v>23</v>
      </c>
      <c r="B21" s="10">
        <v>1</v>
      </c>
      <c r="C21" s="10">
        <v>2</v>
      </c>
      <c r="D21" s="10">
        <v>3</v>
      </c>
      <c r="E21" s="10">
        <v>4</v>
      </c>
      <c r="F21" s="10">
        <v>5</v>
      </c>
      <c r="G21" s="10">
        <v>6</v>
      </c>
      <c r="H21" s="10">
        <v>7</v>
      </c>
      <c r="I21" s="10">
        <v>8</v>
      </c>
      <c r="J21" s="10">
        <v>9</v>
      </c>
      <c r="K21" s="10">
        <v>10</v>
      </c>
      <c r="L21" s="10">
        <v>11</v>
      </c>
      <c r="M21" s="10">
        <v>12</v>
      </c>
    </row>
    <row r="22" spans="1:13" x14ac:dyDescent="0.35">
      <c r="A22" s="10" t="s">
        <v>14</v>
      </c>
      <c r="B22" s="11" t="s">
        <v>57</v>
      </c>
      <c r="C22" s="11" t="s">
        <v>57</v>
      </c>
      <c r="D22" s="11" t="s">
        <v>57</v>
      </c>
      <c r="E22" s="12" t="s">
        <v>64</v>
      </c>
      <c r="F22" s="12" t="s">
        <v>64</v>
      </c>
      <c r="G22" s="12" t="s">
        <v>64</v>
      </c>
      <c r="H22" s="12" t="s">
        <v>72</v>
      </c>
      <c r="I22" s="12" t="s">
        <v>72</v>
      </c>
      <c r="J22" s="12" t="s">
        <v>72</v>
      </c>
      <c r="K22" s="12" t="s">
        <v>80</v>
      </c>
      <c r="L22" s="12" t="s">
        <v>80</v>
      </c>
      <c r="M22" s="12" t="s">
        <v>80</v>
      </c>
    </row>
    <row r="23" spans="1:13" x14ac:dyDescent="0.35">
      <c r="A23" s="10" t="s">
        <v>15</v>
      </c>
      <c r="B23" s="11" t="s">
        <v>58</v>
      </c>
      <c r="C23" s="11" t="s">
        <v>58</v>
      </c>
      <c r="D23" s="11" t="s">
        <v>58</v>
      </c>
      <c r="E23" s="12" t="s">
        <v>65</v>
      </c>
      <c r="F23" s="12" t="s">
        <v>65</v>
      </c>
      <c r="G23" s="12" t="s">
        <v>65</v>
      </c>
      <c r="H23" s="12" t="s">
        <v>73</v>
      </c>
      <c r="I23" s="12" t="s">
        <v>73</v>
      </c>
      <c r="J23" s="12" t="s">
        <v>73</v>
      </c>
      <c r="K23" s="12" t="s">
        <v>81</v>
      </c>
      <c r="L23" s="12" t="s">
        <v>81</v>
      </c>
      <c r="M23" s="12" t="s">
        <v>81</v>
      </c>
    </row>
    <row r="24" spans="1:13" x14ac:dyDescent="0.35">
      <c r="A24" s="10" t="s">
        <v>17</v>
      </c>
      <c r="B24" s="11" t="s">
        <v>59</v>
      </c>
      <c r="C24" s="11" t="s">
        <v>59</v>
      </c>
      <c r="D24" s="11" t="s">
        <v>59</v>
      </c>
      <c r="E24" s="12" t="s">
        <v>66</v>
      </c>
      <c r="F24" s="12" t="s">
        <v>66</v>
      </c>
      <c r="G24" s="12" t="s">
        <v>66</v>
      </c>
      <c r="H24" s="12" t="s">
        <v>74</v>
      </c>
      <c r="I24" s="12" t="s">
        <v>74</v>
      </c>
      <c r="J24" s="12" t="s">
        <v>74</v>
      </c>
      <c r="K24" s="12" t="s">
        <v>82</v>
      </c>
      <c r="L24" s="12" t="s">
        <v>82</v>
      </c>
      <c r="M24" s="12" t="s">
        <v>82</v>
      </c>
    </row>
    <row r="25" spans="1:13" ht="25" x14ac:dyDescent="0.35">
      <c r="A25" s="10" t="s">
        <v>18</v>
      </c>
      <c r="B25" s="11" t="s">
        <v>60</v>
      </c>
      <c r="C25" s="11" t="s">
        <v>60</v>
      </c>
      <c r="D25" s="11" t="s">
        <v>60</v>
      </c>
      <c r="E25" s="12" t="s">
        <v>67</v>
      </c>
      <c r="F25" s="12" t="s">
        <v>67</v>
      </c>
      <c r="G25" s="12" t="s">
        <v>67</v>
      </c>
      <c r="H25" s="12" t="s">
        <v>78</v>
      </c>
      <c r="I25" s="12" t="s">
        <v>78</v>
      </c>
      <c r="J25" s="12" t="s">
        <v>78</v>
      </c>
      <c r="K25" s="12" t="s">
        <v>16</v>
      </c>
      <c r="L25" s="12" t="s">
        <v>16</v>
      </c>
      <c r="M25" s="12" t="s">
        <v>16</v>
      </c>
    </row>
    <row r="26" spans="1:13" ht="19.5" customHeight="1" x14ac:dyDescent="0.35">
      <c r="A26" s="10" t="s">
        <v>19</v>
      </c>
      <c r="B26" s="11" t="s">
        <v>61</v>
      </c>
      <c r="C26" s="11" t="s">
        <v>61</v>
      </c>
      <c r="D26" s="11" t="s">
        <v>61</v>
      </c>
      <c r="E26" s="12" t="s">
        <v>68</v>
      </c>
      <c r="F26" s="12" t="s">
        <v>68</v>
      </c>
      <c r="G26" s="12" t="s">
        <v>68</v>
      </c>
      <c r="H26" s="12" t="s">
        <v>75</v>
      </c>
      <c r="I26" s="12" t="s">
        <v>75</v>
      </c>
      <c r="J26" s="12" t="s">
        <v>75</v>
      </c>
      <c r="K26" s="12" t="s">
        <v>16</v>
      </c>
      <c r="L26" s="12" t="s">
        <v>16</v>
      </c>
      <c r="M26" s="12" t="s">
        <v>16</v>
      </c>
    </row>
    <row r="27" spans="1:13" x14ac:dyDescent="0.35">
      <c r="A27" s="10" t="s">
        <v>20</v>
      </c>
      <c r="B27" s="11" t="s">
        <v>62</v>
      </c>
      <c r="C27" s="11" t="s">
        <v>62</v>
      </c>
      <c r="D27" s="11" t="s">
        <v>62</v>
      </c>
      <c r="E27" s="27" t="s">
        <v>70</v>
      </c>
      <c r="F27" s="27" t="s">
        <v>70</v>
      </c>
      <c r="G27" s="27" t="s">
        <v>70</v>
      </c>
      <c r="H27" s="12" t="s">
        <v>79</v>
      </c>
      <c r="I27" s="12" t="s">
        <v>79</v>
      </c>
      <c r="J27" s="12" t="s">
        <v>79</v>
      </c>
      <c r="K27" s="12" t="s">
        <v>16</v>
      </c>
      <c r="L27" s="12" t="s">
        <v>16</v>
      </c>
      <c r="M27" s="12" t="s">
        <v>16</v>
      </c>
    </row>
    <row r="28" spans="1:13" x14ac:dyDescent="0.35">
      <c r="A28" s="10" t="s">
        <v>21</v>
      </c>
      <c r="B28" s="11" t="s">
        <v>63</v>
      </c>
      <c r="C28" s="11" t="s">
        <v>63</v>
      </c>
      <c r="D28" s="11" t="s">
        <v>63</v>
      </c>
      <c r="E28" s="12" t="s">
        <v>69</v>
      </c>
      <c r="F28" s="12" t="s">
        <v>69</v>
      </c>
      <c r="G28" s="12" t="s">
        <v>69</v>
      </c>
      <c r="H28" s="12" t="s">
        <v>76</v>
      </c>
      <c r="I28" s="12" t="s">
        <v>76</v>
      </c>
      <c r="J28" s="12" t="s">
        <v>76</v>
      </c>
      <c r="K28" s="12" t="s">
        <v>16</v>
      </c>
      <c r="L28" s="12" t="s">
        <v>16</v>
      </c>
      <c r="M28" s="12" t="s">
        <v>16</v>
      </c>
    </row>
    <row r="29" spans="1:13" ht="25" x14ac:dyDescent="0.35">
      <c r="A29" s="10" t="s">
        <v>22</v>
      </c>
      <c r="B29" s="11" t="s">
        <v>60</v>
      </c>
      <c r="C29" s="11" t="s">
        <v>60</v>
      </c>
      <c r="D29" s="11" t="s">
        <v>60</v>
      </c>
      <c r="E29" s="12" t="s">
        <v>71</v>
      </c>
      <c r="F29" s="12" t="s">
        <v>71</v>
      </c>
      <c r="G29" s="12" t="s">
        <v>71</v>
      </c>
      <c r="H29" s="12" t="s">
        <v>77</v>
      </c>
      <c r="I29" s="12" t="s">
        <v>77</v>
      </c>
      <c r="J29" s="12" t="s">
        <v>77</v>
      </c>
      <c r="K29" s="12" t="s">
        <v>16</v>
      </c>
      <c r="L29" s="12" t="s">
        <v>16</v>
      </c>
      <c r="M29" s="12" t="s">
        <v>16</v>
      </c>
    </row>
    <row r="31" spans="1:13" x14ac:dyDescent="0.35">
      <c r="A31" s="9" t="s">
        <v>47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0" t="s">
        <v>14</v>
      </c>
      <c r="B32" s="12">
        <v>1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35">
      <c r="A33" s="10" t="s">
        <v>15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35">
      <c r="A34" s="10" t="s">
        <v>17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35">
      <c r="A35" s="10" t="s">
        <v>18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35">
      <c r="A36" s="10" t="s">
        <v>19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35">
      <c r="A37" s="10" t="s">
        <v>20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35">
      <c r="A38" s="10" t="s">
        <v>21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35">
      <c r="A39" s="10" t="s">
        <v>22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B634-2C83-49B7-A2A2-F0A9E9C438C5}">
  <dimension ref="A1:M39"/>
  <sheetViews>
    <sheetView zoomScale="80" zoomScaleNormal="80" workbookViewId="0">
      <selection activeCell="H22" sqref="H22:H24"/>
    </sheetView>
  </sheetViews>
  <sheetFormatPr defaultRowHeight="14.5" x14ac:dyDescent="0.35"/>
  <cols>
    <col min="1" max="1" width="11.26953125" customWidth="1"/>
    <col min="5" max="7" width="31.26953125" customWidth="1"/>
    <col min="8" max="8" width="27.54296875" customWidth="1"/>
    <col min="9" max="9" width="25.26953125" customWidth="1"/>
    <col min="10" max="10" width="25.1796875" customWidth="1"/>
  </cols>
  <sheetData>
    <row r="1" spans="1:13" x14ac:dyDescent="0.35">
      <c r="A1" s="6" t="s">
        <v>4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x14ac:dyDescent="0.35">
      <c r="A2" s="7" t="s">
        <v>14</v>
      </c>
      <c r="B2" s="8">
        <v>0.17299999999999999</v>
      </c>
      <c r="C2" s="8">
        <v>0.18099999999999999</v>
      </c>
      <c r="D2" s="8">
        <v>0.14799999999999999</v>
      </c>
      <c r="E2" s="8">
        <v>3.6999999999999998E-2</v>
      </c>
      <c r="F2" s="8">
        <v>3.6999999999999998E-2</v>
      </c>
      <c r="G2" s="8">
        <v>3.7999999999999999E-2</v>
      </c>
      <c r="H2" s="8">
        <v>4.2999999999999997E-2</v>
      </c>
      <c r="I2" s="8">
        <v>4.2999999999999997E-2</v>
      </c>
      <c r="J2" s="8">
        <v>4.2999999999999997E-2</v>
      </c>
      <c r="K2" s="8">
        <v>4.7E-2</v>
      </c>
      <c r="L2" s="8">
        <v>4.5999999999999999E-2</v>
      </c>
      <c r="M2" s="8">
        <v>4.8000000000000001E-2</v>
      </c>
    </row>
    <row r="3" spans="1:13" x14ac:dyDescent="0.35">
      <c r="A3" s="7" t="s">
        <v>15</v>
      </c>
      <c r="B3" s="8">
        <v>5.3999999999999999E-2</v>
      </c>
      <c r="C3" s="8">
        <v>5.6000000000000001E-2</v>
      </c>
      <c r="D3" s="8">
        <v>5.7000000000000002E-2</v>
      </c>
      <c r="E3" s="8">
        <v>3.6999999999999998E-2</v>
      </c>
      <c r="F3" s="8">
        <v>3.7999999999999999E-2</v>
      </c>
      <c r="G3" s="8">
        <v>3.6999999999999998E-2</v>
      </c>
      <c r="H3" s="8">
        <v>4.8000000000000001E-2</v>
      </c>
      <c r="I3" s="8">
        <v>4.7E-2</v>
      </c>
      <c r="J3" s="8">
        <v>4.7E-2</v>
      </c>
      <c r="K3" s="8">
        <v>4.7E-2</v>
      </c>
      <c r="L3" s="8">
        <v>4.7E-2</v>
      </c>
      <c r="M3" s="8">
        <v>4.7E-2</v>
      </c>
    </row>
    <row r="4" spans="1:13" x14ac:dyDescent="0.35">
      <c r="A4" s="7" t="s">
        <v>17</v>
      </c>
      <c r="B4" s="8">
        <v>3.7999999999999999E-2</v>
      </c>
      <c r="C4" s="8">
        <v>3.7999999999999999E-2</v>
      </c>
      <c r="D4" s="8">
        <v>3.7999999999999999E-2</v>
      </c>
      <c r="E4" s="8">
        <v>3.6999999999999998E-2</v>
      </c>
      <c r="F4" s="8">
        <v>3.7999999999999999E-2</v>
      </c>
      <c r="G4" s="8">
        <v>3.7999999999999999E-2</v>
      </c>
      <c r="H4" s="8">
        <v>3.7999999999999999E-2</v>
      </c>
      <c r="I4" s="8">
        <v>3.7999999999999999E-2</v>
      </c>
      <c r="J4" s="8">
        <v>3.6999999999999998E-2</v>
      </c>
      <c r="K4" s="8">
        <v>4.7E-2</v>
      </c>
      <c r="L4" s="8">
        <v>4.7E-2</v>
      </c>
      <c r="M4" s="8">
        <v>4.7E-2</v>
      </c>
    </row>
    <row r="5" spans="1:13" x14ac:dyDescent="0.35">
      <c r="A5" s="7" t="s">
        <v>18</v>
      </c>
      <c r="B5" s="8">
        <v>4.1000000000000002E-2</v>
      </c>
      <c r="C5" s="8">
        <v>3.6999999999999998E-2</v>
      </c>
      <c r="D5" s="8">
        <v>3.6999999999999998E-2</v>
      </c>
      <c r="E5" s="8">
        <v>0.04</v>
      </c>
      <c r="F5" s="8">
        <v>3.9E-2</v>
      </c>
      <c r="G5" s="8">
        <v>3.9E-2</v>
      </c>
      <c r="H5" s="8">
        <v>4.7E-2</v>
      </c>
      <c r="I5" s="8">
        <v>4.7E-2</v>
      </c>
      <c r="J5" s="8">
        <v>4.8000000000000001E-2</v>
      </c>
      <c r="K5" s="8">
        <v>4.7E-2</v>
      </c>
      <c r="L5" s="8">
        <v>4.7E-2</v>
      </c>
      <c r="M5" s="8">
        <v>4.7E-2</v>
      </c>
    </row>
    <row r="6" spans="1:13" x14ac:dyDescent="0.35">
      <c r="A6" s="7" t="s">
        <v>19</v>
      </c>
      <c r="B6" s="8">
        <v>0.04</v>
      </c>
      <c r="C6" s="8">
        <v>0.04</v>
      </c>
      <c r="D6" s="8">
        <v>0.04</v>
      </c>
      <c r="E6" s="8">
        <v>4.2999999999999997E-2</v>
      </c>
      <c r="F6" s="8">
        <v>4.2999999999999997E-2</v>
      </c>
      <c r="G6" s="8">
        <v>4.2999999999999997E-2</v>
      </c>
      <c r="H6" s="8">
        <v>4.7E-2</v>
      </c>
      <c r="I6" s="8">
        <v>4.7E-2</v>
      </c>
      <c r="J6" s="8">
        <v>4.7E-2</v>
      </c>
      <c r="K6" s="8">
        <v>4.7E-2</v>
      </c>
      <c r="L6" s="8">
        <v>4.7E-2</v>
      </c>
      <c r="M6" s="8">
        <v>4.7E-2</v>
      </c>
    </row>
    <row r="7" spans="1:13" x14ac:dyDescent="0.35">
      <c r="A7" s="7" t="s">
        <v>20</v>
      </c>
      <c r="B7" s="8">
        <v>3.9E-2</v>
      </c>
      <c r="C7" s="8">
        <v>3.7999999999999999E-2</v>
      </c>
      <c r="D7" s="8">
        <v>3.7999999999999999E-2</v>
      </c>
      <c r="E7" s="8">
        <v>4.3999999999999997E-2</v>
      </c>
      <c r="F7" s="8">
        <v>4.3999999999999997E-2</v>
      </c>
      <c r="G7" s="8">
        <v>4.2999999999999997E-2</v>
      </c>
      <c r="H7" s="8">
        <v>4.7E-2</v>
      </c>
      <c r="I7" s="8">
        <v>4.7E-2</v>
      </c>
      <c r="J7" s="8">
        <v>5.2999999999999999E-2</v>
      </c>
      <c r="K7" s="8">
        <v>4.7E-2</v>
      </c>
      <c r="L7" s="8">
        <v>4.7E-2</v>
      </c>
      <c r="M7" s="8">
        <v>4.7E-2</v>
      </c>
    </row>
    <row r="8" spans="1:13" x14ac:dyDescent="0.35">
      <c r="A8" s="7" t="s">
        <v>21</v>
      </c>
      <c r="B8" s="8">
        <v>3.7999999999999999E-2</v>
      </c>
      <c r="C8" s="8">
        <v>3.6999999999999998E-2</v>
      </c>
      <c r="D8" s="8">
        <v>4.1000000000000002E-2</v>
      </c>
      <c r="E8" s="8">
        <v>4.4999999999999998E-2</v>
      </c>
      <c r="F8" s="8">
        <v>4.3999999999999997E-2</v>
      </c>
      <c r="G8" s="8">
        <v>4.2999999999999997E-2</v>
      </c>
      <c r="H8" s="8">
        <v>4.7E-2</v>
      </c>
      <c r="I8" s="8">
        <v>4.7E-2</v>
      </c>
      <c r="J8" s="8">
        <v>4.7E-2</v>
      </c>
      <c r="K8" s="8">
        <v>4.7E-2</v>
      </c>
      <c r="L8" s="8">
        <v>4.7E-2</v>
      </c>
      <c r="M8" s="8">
        <v>4.7E-2</v>
      </c>
    </row>
    <row r="9" spans="1:13" x14ac:dyDescent="0.35">
      <c r="A9" s="7" t="s">
        <v>22</v>
      </c>
      <c r="B9" s="8">
        <v>3.7999999999999999E-2</v>
      </c>
      <c r="C9" s="8">
        <v>3.7999999999999999E-2</v>
      </c>
      <c r="D9" s="8">
        <v>3.6999999999999998E-2</v>
      </c>
      <c r="E9" s="8">
        <v>0.15</v>
      </c>
      <c r="F9" s="8">
        <v>0.156</v>
      </c>
      <c r="G9" s="8">
        <v>0.157</v>
      </c>
      <c r="H9" s="8">
        <v>4.7E-2</v>
      </c>
      <c r="I9" s="8">
        <v>4.7E-2</v>
      </c>
      <c r="J9" s="8">
        <v>4.7E-2</v>
      </c>
      <c r="K9" s="8">
        <v>4.7E-2</v>
      </c>
      <c r="L9" s="8">
        <v>4.7E-2</v>
      </c>
      <c r="M9" s="8">
        <v>4.7E-2</v>
      </c>
    </row>
    <row r="11" spans="1:13" x14ac:dyDescent="0.35">
      <c r="A11" s="6" t="s">
        <v>5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</row>
    <row r="12" spans="1:13" x14ac:dyDescent="0.35">
      <c r="A12" s="7" t="s">
        <v>14</v>
      </c>
      <c r="B12" s="8">
        <v>0.28000000000000003</v>
      </c>
      <c r="C12" s="8">
        <v>0.28799999999999998</v>
      </c>
      <c r="D12" s="8">
        <v>0.25600000000000001</v>
      </c>
      <c r="E12" s="8">
        <v>4.2999999999999997E-2</v>
      </c>
      <c r="F12" s="8">
        <v>4.2000000000000003E-2</v>
      </c>
      <c r="G12" s="8">
        <v>4.1000000000000002E-2</v>
      </c>
      <c r="H12" s="8">
        <v>4.7E-2</v>
      </c>
      <c r="I12" s="8">
        <v>4.5999999999999999E-2</v>
      </c>
      <c r="J12" s="8">
        <v>4.7E-2</v>
      </c>
      <c r="K12" s="8">
        <v>4.7E-2</v>
      </c>
      <c r="L12" s="8">
        <v>4.7E-2</v>
      </c>
      <c r="M12" s="8">
        <v>4.7E-2</v>
      </c>
    </row>
    <row r="13" spans="1:13" x14ac:dyDescent="0.35">
      <c r="A13" s="7" t="s">
        <v>15</v>
      </c>
      <c r="B13" s="8">
        <v>7.4999999999999997E-2</v>
      </c>
      <c r="C13" s="8">
        <v>7.8E-2</v>
      </c>
      <c r="D13" s="8">
        <v>7.2999999999999995E-2</v>
      </c>
      <c r="E13" s="8">
        <v>4.2999999999999997E-2</v>
      </c>
      <c r="F13" s="8">
        <v>4.2999999999999997E-2</v>
      </c>
      <c r="G13" s="8">
        <v>4.3999999999999997E-2</v>
      </c>
      <c r="H13" s="8">
        <v>5.6000000000000001E-2</v>
      </c>
      <c r="I13" s="8">
        <v>5.5E-2</v>
      </c>
      <c r="J13" s="8">
        <v>5.5E-2</v>
      </c>
      <c r="K13" s="8">
        <v>4.7E-2</v>
      </c>
      <c r="L13" s="8">
        <v>4.7E-2</v>
      </c>
      <c r="M13" s="8">
        <v>4.7E-2</v>
      </c>
    </row>
    <row r="14" spans="1:13" x14ac:dyDescent="0.35">
      <c r="A14" s="7" t="s">
        <v>17</v>
      </c>
      <c r="B14" s="8">
        <v>0.04</v>
      </c>
      <c r="C14" s="8">
        <v>0.04</v>
      </c>
      <c r="D14" s="8">
        <v>3.9E-2</v>
      </c>
      <c r="E14" s="8">
        <v>0.04</v>
      </c>
      <c r="F14" s="8">
        <v>4.1000000000000002E-2</v>
      </c>
      <c r="G14" s="8">
        <v>4.2000000000000003E-2</v>
      </c>
      <c r="H14" s="8">
        <v>3.7999999999999999E-2</v>
      </c>
      <c r="I14" s="8">
        <v>3.6999999999999998E-2</v>
      </c>
      <c r="J14" s="8">
        <v>3.6999999999999998E-2</v>
      </c>
      <c r="K14" s="8">
        <v>4.7E-2</v>
      </c>
      <c r="L14" s="8">
        <v>4.7E-2</v>
      </c>
      <c r="M14" s="8">
        <v>4.7E-2</v>
      </c>
    </row>
    <row r="15" spans="1:13" x14ac:dyDescent="0.35">
      <c r="A15" s="7" t="s">
        <v>18</v>
      </c>
      <c r="B15" s="8">
        <v>4.2000000000000003E-2</v>
      </c>
      <c r="C15" s="8">
        <v>3.7999999999999999E-2</v>
      </c>
      <c r="D15" s="8">
        <v>3.9E-2</v>
      </c>
      <c r="E15" s="8">
        <v>4.3999999999999997E-2</v>
      </c>
      <c r="F15" s="8">
        <v>4.2999999999999997E-2</v>
      </c>
      <c r="G15" s="8">
        <v>4.2999999999999997E-2</v>
      </c>
      <c r="H15" s="8">
        <v>4.7E-2</v>
      </c>
      <c r="I15" s="8">
        <v>4.8000000000000001E-2</v>
      </c>
      <c r="J15" s="8">
        <v>4.8000000000000001E-2</v>
      </c>
      <c r="K15" s="8">
        <v>4.7E-2</v>
      </c>
      <c r="L15" s="8">
        <v>4.7E-2</v>
      </c>
      <c r="M15" s="8">
        <v>4.7E-2</v>
      </c>
    </row>
    <row r="16" spans="1:13" x14ac:dyDescent="0.35">
      <c r="A16" s="7" t="s">
        <v>19</v>
      </c>
      <c r="B16" s="8">
        <v>0.17699999999999999</v>
      </c>
      <c r="C16" s="8">
        <v>0.161</v>
      </c>
      <c r="D16" s="8">
        <v>0.184</v>
      </c>
      <c r="E16" s="8">
        <v>4.5999999999999999E-2</v>
      </c>
      <c r="F16" s="8">
        <v>4.7E-2</v>
      </c>
      <c r="G16" s="8">
        <v>4.7E-2</v>
      </c>
      <c r="H16" s="8">
        <v>4.7E-2</v>
      </c>
      <c r="I16" s="8">
        <v>4.7E-2</v>
      </c>
      <c r="J16" s="8">
        <v>5.6000000000000001E-2</v>
      </c>
      <c r="K16" s="8">
        <v>4.7E-2</v>
      </c>
      <c r="L16" s="8">
        <v>4.7E-2</v>
      </c>
      <c r="M16" s="8">
        <v>4.8000000000000001E-2</v>
      </c>
    </row>
    <row r="17" spans="1:13" x14ac:dyDescent="0.35">
      <c r="A17" s="7" t="s">
        <v>20</v>
      </c>
      <c r="B17" s="8">
        <v>0.06</v>
      </c>
      <c r="C17" s="8">
        <v>6.3E-2</v>
      </c>
      <c r="D17" s="8">
        <v>4.3999999999999997E-2</v>
      </c>
      <c r="E17" s="8">
        <v>4.8000000000000001E-2</v>
      </c>
      <c r="F17" s="8">
        <v>4.8000000000000001E-2</v>
      </c>
      <c r="G17" s="8">
        <v>4.8000000000000001E-2</v>
      </c>
      <c r="H17" s="8">
        <v>4.7E-2</v>
      </c>
      <c r="I17" s="8">
        <v>4.7E-2</v>
      </c>
      <c r="J17" s="8">
        <v>5.3999999999999999E-2</v>
      </c>
      <c r="K17" s="8">
        <v>4.7E-2</v>
      </c>
      <c r="L17" s="8">
        <v>4.7E-2</v>
      </c>
      <c r="M17" s="8">
        <v>4.7E-2</v>
      </c>
    </row>
    <row r="18" spans="1:13" x14ac:dyDescent="0.35">
      <c r="A18" s="7" t="s">
        <v>21</v>
      </c>
      <c r="B18" s="8">
        <v>0.04</v>
      </c>
      <c r="C18" s="8">
        <v>0.04</v>
      </c>
      <c r="D18" s="8">
        <v>0.04</v>
      </c>
      <c r="E18" s="8">
        <v>0.05</v>
      </c>
      <c r="F18" s="8">
        <v>4.7E-2</v>
      </c>
      <c r="G18" s="8">
        <v>4.7E-2</v>
      </c>
      <c r="H18" s="8">
        <v>4.7E-2</v>
      </c>
      <c r="I18" s="8">
        <v>4.7E-2</v>
      </c>
      <c r="J18" s="8">
        <v>4.7E-2</v>
      </c>
      <c r="K18" s="8">
        <v>4.7E-2</v>
      </c>
      <c r="L18" s="8">
        <v>4.8000000000000001E-2</v>
      </c>
      <c r="M18" s="8">
        <v>4.7E-2</v>
      </c>
    </row>
    <row r="19" spans="1:13" x14ac:dyDescent="0.35">
      <c r="A19" s="7" t="s">
        <v>22</v>
      </c>
      <c r="B19" s="8">
        <v>3.7999999999999999E-2</v>
      </c>
      <c r="C19" s="8">
        <v>3.7999999999999999E-2</v>
      </c>
      <c r="D19" s="8">
        <v>3.7999999999999999E-2</v>
      </c>
      <c r="E19" s="8">
        <v>0.192</v>
      </c>
      <c r="F19" s="8">
        <v>0.20599999999999999</v>
      </c>
      <c r="G19" s="8">
        <v>0.183</v>
      </c>
      <c r="H19" s="8">
        <v>4.7E-2</v>
      </c>
      <c r="I19" s="8">
        <v>4.7E-2</v>
      </c>
      <c r="J19" s="8">
        <v>4.8000000000000001E-2</v>
      </c>
      <c r="K19" s="8">
        <v>4.7E-2</v>
      </c>
      <c r="L19" s="8">
        <v>4.7E-2</v>
      </c>
      <c r="M19" s="8">
        <v>4.7E-2</v>
      </c>
    </row>
    <row r="21" spans="1:13" x14ac:dyDescent="0.35">
      <c r="A21" s="9" t="s">
        <v>23</v>
      </c>
      <c r="B21" s="10">
        <v>1</v>
      </c>
      <c r="C21" s="10">
        <v>2</v>
      </c>
      <c r="D21" s="10">
        <v>3</v>
      </c>
      <c r="E21" s="10">
        <v>4</v>
      </c>
      <c r="F21" s="10">
        <v>5</v>
      </c>
      <c r="G21" s="10">
        <v>6</v>
      </c>
      <c r="H21" s="10">
        <v>7</v>
      </c>
      <c r="I21" s="10">
        <v>8</v>
      </c>
      <c r="J21" s="10">
        <v>9</v>
      </c>
      <c r="K21" s="10">
        <v>10</v>
      </c>
      <c r="L21" s="10">
        <v>11</v>
      </c>
      <c r="M21" s="10">
        <v>12</v>
      </c>
    </row>
    <row r="22" spans="1:13" x14ac:dyDescent="0.35">
      <c r="A22" s="10" t="s">
        <v>14</v>
      </c>
      <c r="B22" s="11" t="s">
        <v>57</v>
      </c>
      <c r="C22" s="11" t="s">
        <v>57</v>
      </c>
      <c r="D22" s="11" t="s">
        <v>57</v>
      </c>
      <c r="E22" s="12" t="s">
        <v>83</v>
      </c>
      <c r="F22" s="12" t="s">
        <v>83</v>
      </c>
      <c r="G22" s="12" t="s">
        <v>83</v>
      </c>
      <c r="H22" s="12" t="s">
        <v>91</v>
      </c>
      <c r="I22" s="12" t="s">
        <v>91</v>
      </c>
      <c r="J22" s="12" t="s">
        <v>91</v>
      </c>
      <c r="K22" s="12" t="s">
        <v>16</v>
      </c>
      <c r="L22" s="12" t="s">
        <v>16</v>
      </c>
      <c r="M22" s="12" t="s">
        <v>16</v>
      </c>
    </row>
    <row r="23" spans="1:13" x14ac:dyDescent="0.35">
      <c r="A23" s="10" t="s">
        <v>15</v>
      </c>
      <c r="B23" s="11" t="s">
        <v>58</v>
      </c>
      <c r="C23" s="11" t="s">
        <v>58</v>
      </c>
      <c r="D23" s="11" t="s">
        <v>58</v>
      </c>
      <c r="E23" s="12" t="s">
        <v>84</v>
      </c>
      <c r="F23" s="12" t="s">
        <v>84</v>
      </c>
      <c r="G23" s="12" t="s">
        <v>84</v>
      </c>
      <c r="H23" s="12" t="s">
        <v>92</v>
      </c>
      <c r="I23" s="12" t="s">
        <v>92</v>
      </c>
      <c r="J23" s="12" t="s">
        <v>92</v>
      </c>
      <c r="K23" s="12" t="s">
        <v>16</v>
      </c>
      <c r="L23" s="12" t="s">
        <v>16</v>
      </c>
      <c r="M23" s="12" t="s">
        <v>16</v>
      </c>
    </row>
    <row r="24" spans="1:13" x14ac:dyDescent="0.35">
      <c r="A24" s="10" t="s">
        <v>17</v>
      </c>
      <c r="B24" s="11" t="s">
        <v>59</v>
      </c>
      <c r="C24" s="11" t="s">
        <v>59</v>
      </c>
      <c r="D24" s="11" t="s">
        <v>59</v>
      </c>
      <c r="E24" s="12" t="s">
        <v>85</v>
      </c>
      <c r="F24" s="12" t="s">
        <v>85</v>
      </c>
      <c r="G24" s="12" t="s">
        <v>85</v>
      </c>
      <c r="H24" s="12" t="s">
        <v>93</v>
      </c>
      <c r="I24" s="12" t="s">
        <v>93</v>
      </c>
      <c r="J24" s="12" t="s">
        <v>93</v>
      </c>
      <c r="K24" s="12" t="s">
        <v>16</v>
      </c>
      <c r="L24" s="12" t="s">
        <v>16</v>
      </c>
      <c r="M24" s="12" t="s">
        <v>16</v>
      </c>
    </row>
    <row r="25" spans="1:13" ht="25" x14ac:dyDescent="0.35">
      <c r="A25" s="10" t="s">
        <v>18</v>
      </c>
      <c r="B25" s="11" t="s">
        <v>60</v>
      </c>
      <c r="C25" s="11" t="s">
        <v>60</v>
      </c>
      <c r="D25" s="11" t="s">
        <v>60</v>
      </c>
      <c r="E25" s="12" t="s">
        <v>86</v>
      </c>
      <c r="F25" s="12" t="s">
        <v>86</v>
      </c>
      <c r="G25" s="12" t="s">
        <v>86</v>
      </c>
      <c r="H25" s="12" t="s">
        <v>16</v>
      </c>
      <c r="I25" s="12" t="s">
        <v>16</v>
      </c>
      <c r="J25" s="12" t="s">
        <v>16</v>
      </c>
      <c r="K25" s="12" t="s">
        <v>16</v>
      </c>
      <c r="L25" s="12" t="s">
        <v>16</v>
      </c>
      <c r="M25" s="12" t="s">
        <v>16</v>
      </c>
    </row>
    <row r="26" spans="1:13" x14ac:dyDescent="0.35">
      <c r="A26" s="10" t="s">
        <v>19</v>
      </c>
      <c r="B26" s="11" t="s">
        <v>61</v>
      </c>
      <c r="C26" s="11" t="s">
        <v>61</v>
      </c>
      <c r="D26" s="11" t="s">
        <v>61</v>
      </c>
      <c r="E26" s="12" t="s">
        <v>87</v>
      </c>
      <c r="F26" s="12" t="s">
        <v>87</v>
      </c>
      <c r="G26" s="12" t="s">
        <v>87</v>
      </c>
      <c r="H26" s="12" t="s">
        <v>16</v>
      </c>
      <c r="I26" s="12" t="s">
        <v>16</v>
      </c>
      <c r="J26" s="12" t="s">
        <v>16</v>
      </c>
      <c r="K26" s="12" t="s">
        <v>16</v>
      </c>
      <c r="L26" s="12" t="s">
        <v>16</v>
      </c>
      <c r="M26" s="12" t="s">
        <v>16</v>
      </c>
    </row>
    <row r="27" spans="1:13" x14ac:dyDescent="0.35">
      <c r="A27" s="10" t="s">
        <v>20</v>
      </c>
      <c r="B27" s="11" t="s">
        <v>62</v>
      </c>
      <c r="C27" s="11" t="s">
        <v>62</v>
      </c>
      <c r="D27" s="11" t="s">
        <v>62</v>
      </c>
      <c r="E27" s="12" t="s">
        <v>89</v>
      </c>
      <c r="F27" s="12" t="s">
        <v>89</v>
      </c>
      <c r="G27" s="12" t="s">
        <v>89</v>
      </c>
      <c r="H27" s="12" t="s">
        <v>16</v>
      </c>
      <c r="I27" s="12" t="s">
        <v>16</v>
      </c>
      <c r="J27" s="12" t="s">
        <v>16</v>
      </c>
      <c r="K27" s="12" t="s">
        <v>16</v>
      </c>
      <c r="L27" s="12" t="s">
        <v>16</v>
      </c>
      <c r="M27" s="12" t="s">
        <v>16</v>
      </c>
    </row>
    <row r="28" spans="1:13" x14ac:dyDescent="0.35">
      <c r="A28" s="10" t="s">
        <v>21</v>
      </c>
      <c r="B28" s="11" t="s">
        <v>63</v>
      </c>
      <c r="C28" s="11" t="s">
        <v>63</v>
      </c>
      <c r="D28" s="11" t="s">
        <v>63</v>
      </c>
      <c r="E28" s="12" t="s">
        <v>88</v>
      </c>
      <c r="F28" s="12" t="s">
        <v>88</v>
      </c>
      <c r="G28" s="12" t="s">
        <v>88</v>
      </c>
      <c r="H28" s="12" t="s">
        <v>16</v>
      </c>
      <c r="I28" s="12" t="s">
        <v>16</v>
      </c>
      <c r="J28" s="12" t="s">
        <v>16</v>
      </c>
      <c r="K28" s="12" t="s">
        <v>16</v>
      </c>
      <c r="L28" s="12" t="s">
        <v>16</v>
      </c>
      <c r="M28" s="12" t="s">
        <v>16</v>
      </c>
    </row>
    <row r="29" spans="1:13" ht="25" x14ac:dyDescent="0.35">
      <c r="A29" s="10" t="s">
        <v>22</v>
      </c>
      <c r="B29" s="11" t="s">
        <v>60</v>
      </c>
      <c r="C29" s="11" t="s">
        <v>60</v>
      </c>
      <c r="D29" s="11" t="s">
        <v>60</v>
      </c>
      <c r="E29" s="12" t="s">
        <v>90</v>
      </c>
      <c r="F29" s="12" t="s">
        <v>90</v>
      </c>
      <c r="G29" s="12" t="s">
        <v>90</v>
      </c>
      <c r="H29" s="12" t="s">
        <v>16</v>
      </c>
      <c r="I29" s="12" t="s">
        <v>16</v>
      </c>
      <c r="J29" s="12" t="s">
        <v>16</v>
      </c>
      <c r="K29" s="12" t="s">
        <v>16</v>
      </c>
      <c r="L29" s="12" t="s">
        <v>16</v>
      </c>
      <c r="M29" s="12" t="s">
        <v>16</v>
      </c>
    </row>
    <row r="31" spans="1:13" x14ac:dyDescent="0.35">
      <c r="A31" s="9" t="s">
        <v>47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0" t="s">
        <v>14</v>
      </c>
      <c r="B32" s="12">
        <v>1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35">
      <c r="A33" s="10" t="s">
        <v>15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35">
      <c r="A34" s="10" t="s">
        <v>17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35">
      <c r="A35" s="10" t="s">
        <v>18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35">
      <c r="A36" s="10" t="s">
        <v>19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35">
      <c r="A37" s="10" t="s">
        <v>20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35">
      <c r="A38" s="10" t="s">
        <v>21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35">
      <c r="A39" s="10" t="s">
        <v>22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407E-8CE8-4217-A8A6-6098E8A7B08C}">
  <dimension ref="A1:M39"/>
  <sheetViews>
    <sheetView workbookViewId="0">
      <selection activeCell="J21" sqref="J21"/>
    </sheetView>
  </sheetViews>
  <sheetFormatPr defaultRowHeight="14.5" x14ac:dyDescent="0.35"/>
  <cols>
    <col min="1" max="1" width="11.26953125" customWidth="1"/>
    <col min="5" max="7" width="23.54296875" customWidth="1"/>
    <col min="8" max="10" width="22.453125" customWidth="1"/>
    <col min="11" max="13" width="27.81640625" customWidth="1"/>
  </cols>
  <sheetData>
    <row r="1" spans="1:13" x14ac:dyDescent="0.35">
      <c r="A1" s="6" t="s">
        <v>4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x14ac:dyDescent="0.35">
      <c r="A2" s="7" t="s">
        <v>14</v>
      </c>
      <c r="B2" s="8">
        <v>0.151</v>
      </c>
      <c r="C2" s="8">
        <v>0.14799999999999999</v>
      </c>
      <c r="D2" s="8">
        <v>0.11700000000000001</v>
      </c>
      <c r="E2" s="8">
        <v>4.2999999999999997E-2</v>
      </c>
      <c r="F2" s="8">
        <v>4.1000000000000002E-2</v>
      </c>
      <c r="G2" s="8">
        <v>4.1000000000000002E-2</v>
      </c>
      <c r="H2" s="8">
        <v>4.4999999999999998E-2</v>
      </c>
      <c r="I2" s="8">
        <v>4.4999999999999998E-2</v>
      </c>
      <c r="J2" s="8">
        <v>4.3999999999999997E-2</v>
      </c>
      <c r="K2" s="8">
        <v>4.1000000000000002E-2</v>
      </c>
      <c r="L2" s="8">
        <v>4.1000000000000002E-2</v>
      </c>
      <c r="M2" s="8">
        <v>4.2000000000000003E-2</v>
      </c>
    </row>
    <row r="3" spans="1:13" x14ac:dyDescent="0.35">
      <c r="A3" s="7" t="s">
        <v>15</v>
      </c>
      <c r="B3" s="8">
        <v>5.5E-2</v>
      </c>
      <c r="C3" s="8">
        <v>5.1999999999999998E-2</v>
      </c>
      <c r="D3" s="8">
        <v>0.05</v>
      </c>
      <c r="E3" s="8">
        <v>3.9E-2</v>
      </c>
      <c r="F3" s="8">
        <v>0.04</v>
      </c>
      <c r="G3" s="8">
        <v>3.9E-2</v>
      </c>
      <c r="H3" s="8">
        <v>5.2999999999999999E-2</v>
      </c>
      <c r="I3" s="8">
        <v>5.1999999999999998E-2</v>
      </c>
      <c r="J3" s="8">
        <v>5.2999999999999999E-2</v>
      </c>
      <c r="K3" s="8">
        <v>4.1000000000000002E-2</v>
      </c>
      <c r="L3" s="8">
        <v>0.04</v>
      </c>
      <c r="M3" s="8">
        <v>0.04</v>
      </c>
    </row>
    <row r="4" spans="1:13" x14ac:dyDescent="0.35">
      <c r="A4" s="7" t="s">
        <v>17</v>
      </c>
      <c r="B4" s="8">
        <v>3.6999999999999998E-2</v>
      </c>
      <c r="C4" s="8">
        <v>3.7999999999999999E-2</v>
      </c>
      <c r="D4" s="8">
        <v>3.7999999999999999E-2</v>
      </c>
      <c r="E4" s="8">
        <v>4.2000000000000003E-2</v>
      </c>
      <c r="F4" s="8">
        <v>4.2000000000000003E-2</v>
      </c>
      <c r="G4" s="8">
        <v>4.2999999999999997E-2</v>
      </c>
      <c r="H4" s="8">
        <v>3.9E-2</v>
      </c>
      <c r="I4" s="8">
        <v>0.04</v>
      </c>
      <c r="J4" s="8">
        <v>3.7999999999999999E-2</v>
      </c>
      <c r="K4" s="8">
        <v>5.3999999999999999E-2</v>
      </c>
      <c r="L4" s="8">
        <v>5.0999999999999997E-2</v>
      </c>
      <c r="M4" s="8">
        <v>5.3999999999999999E-2</v>
      </c>
    </row>
    <row r="5" spans="1:13" x14ac:dyDescent="0.35">
      <c r="A5" s="7" t="s">
        <v>18</v>
      </c>
      <c r="B5" s="8">
        <v>3.6999999999999998E-2</v>
      </c>
      <c r="C5" s="8">
        <v>3.6999999999999998E-2</v>
      </c>
      <c r="D5" s="8">
        <v>3.6999999999999998E-2</v>
      </c>
      <c r="E5" s="8">
        <v>3.7999999999999999E-2</v>
      </c>
      <c r="F5" s="8">
        <v>3.7999999999999999E-2</v>
      </c>
      <c r="G5" s="8">
        <v>3.7999999999999999E-2</v>
      </c>
      <c r="H5" s="8">
        <v>3.7999999999999999E-2</v>
      </c>
      <c r="I5" s="8">
        <v>3.9E-2</v>
      </c>
      <c r="J5" s="8">
        <v>3.9E-2</v>
      </c>
      <c r="K5" s="8">
        <v>4.1000000000000002E-2</v>
      </c>
      <c r="L5" s="8">
        <v>4.1000000000000002E-2</v>
      </c>
      <c r="M5" s="8">
        <v>4.1000000000000002E-2</v>
      </c>
    </row>
    <row r="6" spans="1:13" x14ac:dyDescent="0.35">
      <c r="A6" s="7" t="s">
        <v>19</v>
      </c>
      <c r="B6" s="8">
        <v>4.1000000000000002E-2</v>
      </c>
      <c r="C6" s="8">
        <v>0.04</v>
      </c>
      <c r="D6" s="8">
        <v>0.155</v>
      </c>
      <c r="E6" s="8">
        <v>3.9E-2</v>
      </c>
      <c r="F6" s="8">
        <v>3.9E-2</v>
      </c>
      <c r="G6" s="8">
        <v>0.04</v>
      </c>
      <c r="H6" s="8">
        <v>4.5999999999999999E-2</v>
      </c>
      <c r="I6" s="8">
        <v>4.5999999999999999E-2</v>
      </c>
      <c r="J6" s="8">
        <v>4.4999999999999998E-2</v>
      </c>
      <c r="K6" s="8">
        <v>0.04</v>
      </c>
      <c r="L6" s="8">
        <v>0.04</v>
      </c>
      <c r="M6" s="8">
        <v>4.1000000000000002E-2</v>
      </c>
    </row>
    <row r="7" spans="1:13" x14ac:dyDescent="0.35">
      <c r="A7" s="7" t="s">
        <v>20</v>
      </c>
      <c r="B7" s="8">
        <v>3.9E-2</v>
      </c>
      <c r="C7" s="8">
        <v>4.2000000000000003E-2</v>
      </c>
      <c r="D7" s="8">
        <v>3.7999999999999999E-2</v>
      </c>
      <c r="E7" s="8">
        <v>3.7999999999999999E-2</v>
      </c>
      <c r="F7" s="8">
        <v>3.9E-2</v>
      </c>
      <c r="G7" s="8">
        <v>3.9E-2</v>
      </c>
      <c r="H7" s="8">
        <v>0.14899999999999999</v>
      </c>
      <c r="I7" s="8">
        <v>0.16400000000000001</v>
      </c>
      <c r="J7" s="8">
        <v>0.16800000000000001</v>
      </c>
      <c r="K7" s="8">
        <v>3.7999999999999999E-2</v>
      </c>
      <c r="L7" s="8">
        <v>3.9E-2</v>
      </c>
      <c r="M7" s="8">
        <v>3.7999999999999999E-2</v>
      </c>
    </row>
    <row r="8" spans="1:13" x14ac:dyDescent="0.35">
      <c r="A8" s="7" t="s">
        <v>21</v>
      </c>
      <c r="B8" s="8">
        <v>0.04</v>
      </c>
      <c r="C8" s="8">
        <v>3.6999999999999998E-2</v>
      </c>
      <c r="D8" s="8">
        <v>3.7999999999999999E-2</v>
      </c>
      <c r="E8" s="8">
        <v>3.9E-2</v>
      </c>
      <c r="F8" s="8">
        <v>3.7999999999999999E-2</v>
      </c>
      <c r="G8" s="8">
        <v>3.7999999999999999E-2</v>
      </c>
      <c r="H8" s="8">
        <v>8.1000000000000003E-2</v>
      </c>
      <c r="I8" s="8">
        <v>0.08</v>
      </c>
      <c r="J8" s="8">
        <v>7.5999999999999998E-2</v>
      </c>
      <c r="K8" s="8">
        <v>4.7E-2</v>
      </c>
      <c r="L8" s="8">
        <v>4.7E-2</v>
      </c>
      <c r="M8" s="8">
        <v>4.8000000000000001E-2</v>
      </c>
    </row>
    <row r="9" spans="1:13" x14ac:dyDescent="0.35">
      <c r="A9" s="7" t="s">
        <v>22</v>
      </c>
      <c r="B9" s="8">
        <v>3.7999999999999999E-2</v>
      </c>
      <c r="C9" s="8">
        <v>3.6999999999999998E-2</v>
      </c>
      <c r="D9" s="8">
        <v>3.7999999999999999E-2</v>
      </c>
      <c r="E9" s="8">
        <v>3.9E-2</v>
      </c>
      <c r="F9" s="8">
        <v>3.7999999999999999E-2</v>
      </c>
      <c r="G9" s="8">
        <v>3.7999999999999999E-2</v>
      </c>
      <c r="H9" s="8">
        <v>4.1000000000000002E-2</v>
      </c>
      <c r="I9" s="8">
        <v>4.1000000000000002E-2</v>
      </c>
      <c r="J9" s="8">
        <v>4.1000000000000002E-2</v>
      </c>
      <c r="K9" s="8">
        <v>4.7E-2</v>
      </c>
      <c r="L9" s="8">
        <v>4.7E-2</v>
      </c>
      <c r="M9" s="8">
        <v>4.7E-2</v>
      </c>
    </row>
    <row r="11" spans="1:13" x14ac:dyDescent="0.35">
      <c r="A11" s="6" t="s">
        <v>5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</row>
    <row r="12" spans="1:13" x14ac:dyDescent="0.35">
      <c r="A12" s="7" t="s">
        <v>14</v>
      </c>
      <c r="B12" s="8">
        <v>0.30399999999999999</v>
      </c>
      <c r="C12" s="8">
        <v>0.30099999999999999</v>
      </c>
      <c r="D12" s="8">
        <v>0.27200000000000002</v>
      </c>
      <c r="E12" s="8">
        <v>4.8000000000000001E-2</v>
      </c>
      <c r="F12" s="8">
        <v>4.4999999999999998E-2</v>
      </c>
      <c r="G12" s="8">
        <v>4.5999999999999999E-2</v>
      </c>
      <c r="H12" s="8">
        <v>4.8000000000000001E-2</v>
      </c>
      <c r="I12" s="8">
        <v>4.9000000000000002E-2</v>
      </c>
      <c r="J12" s="8">
        <v>4.8000000000000001E-2</v>
      </c>
      <c r="K12" s="8">
        <v>4.4999999999999998E-2</v>
      </c>
      <c r="L12" s="8">
        <v>4.2999999999999997E-2</v>
      </c>
      <c r="M12" s="8">
        <v>4.3999999999999997E-2</v>
      </c>
    </row>
    <row r="13" spans="1:13" x14ac:dyDescent="0.35">
      <c r="A13" s="7" t="s">
        <v>15</v>
      </c>
      <c r="B13" s="8">
        <v>7.9000000000000001E-2</v>
      </c>
      <c r="C13" s="8">
        <v>7.4999999999999997E-2</v>
      </c>
      <c r="D13" s="8">
        <v>7.8E-2</v>
      </c>
      <c r="E13" s="8">
        <v>4.3999999999999997E-2</v>
      </c>
      <c r="F13" s="8">
        <v>4.3999999999999997E-2</v>
      </c>
      <c r="G13" s="8">
        <v>4.2999999999999997E-2</v>
      </c>
      <c r="H13" s="8">
        <v>5.6000000000000001E-2</v>
      </c>
      <c r="I13" s="8">
        <v>5.8000000000000003E-2</v>
      </c>
      <c r="J13" s="8">
        <v>5.6000000000000001E-2</v>
      </c>
      <c r="K13" s="8">
        <v>4.3999999999999997E-2</v>
      </c>
      <c r="L13" s="8">
        <v>4.2999999999999997E-2</v>
      </c>
      <c r="M13" s="8">
        <v>4.2999999999999997E-2</v>
      </c>
    </row>
    <row r="14" spans="1:13" x14ac:dyDescent="0.35">
      <c r="A14" s="7" t="s">
        <v>17</v>
      </c>
      <c r="B14" s="8">
        <v>0.04</v>
      </c>
      <c r="C14" s="8">
        <v>4.1000000000000002E-2</v>
      </c>
      <c r="D14" s="8">
        <v>0.04</v>
      </c>
      <c r="E14" s="8">
        <v>4.5999999999999999E-2</v>
      </c>
      <c r="F14" s="8">
        <v>4.4999999999999998E-2</v>
      </c>
      <c r="G14" s="8">
        <v>4.8000000000000001E-2</v>
      </c>
      <c r="H14" s="8">
        <v>4.2000000000000003E-2</v>
      </c>
      <c r="I14" s="8">
        <v>4.2999999999999997E-2</v>
      </c>
      <c r="J14" s="8">
        <v>4.2000000000000003E-2</v>
      </c>
      <c r="K14" s="8">
        <v>6.3E-2</v>
      </c>
      <c r="L14" s="8">
        <v>5.6000000000000001E-2</v>
      </c>
      <c r="M14" s="8">
        <v>5.8999999999999997E-2</v>
      </c>
    </row>
    <row r="15" spans="1:13" x14ac:dyDescent="0.35">
      <c r="A15" s="7" t="s">
        <v>18</v>
      </c>
      <c r="B15" s="8">
        <v>3.7999999999999999E-2</v>
      </c>
      <c r="C15" s="8">
        <v>3.7999999999999999E-2</v>
      </c>
      <c r="D15" s="8">
        <v>3.7999999999999999E-2</v>
      </c>
      <c r="E15" s="8">
        <v>4.7E-2</v>
      </c>
      <c r="F15" s="8">
        <v>4.4999999999999998E-2</v>
      </c>
      <c r="G15" s="8">
        <v>4.2999999999999997E-2</v>
      </c>
      <c r="H15" s="8">
        <v>4.2999999999999997E-2</v>
      </c>
      <c r="I15" s="8">
        <v>4.2999999999999997E-2</v>
      </c>
      <c r="J15" s="8">
        <v>4.2999999999999997E-2</v>
      </c>
      <c r="K15" s="8">
        <v>4.5999999999999999E-2</v>
      </c>
      <c r="L15" s="8">
        <v>4.5999999999999999E-2</v>
      </c>
      <c r="M15" s="8">
        <v>4.5999999999999999E-2</v>
      </c>
    </row>
    <row r="16" spans="1:13" x14ac:dyDescent="0.35">
      <c r="A16" s="7" t="s">
        <v>19</v>
      </c>
      <c r="B16" s="8">
        <v>0.20200000000000001</v>
      </c>
      <c r="C16" s="8">
        <v>0.20899999999999999</v>
      </c>
      <c r="D16" s="8">
        <v>0.29099999999999998</v>
      </c>
      <c r="E16" s="8">
        <v>4.7E-2</v>
      </c>
      <c r="F16" s="8">
        <v>4.3999999999999997E-2</v>
      </c>
      <c r="G16" s="8">
        <v>4.9000000000000002E-2</v>
      </c>
      <c r="H16" s="8">
        <v>4.9000000000000002E-2</v>
      </c>
      <c r="I16" s="8">
        <v>4.9000000000000002E-2</v>
      </c>
      <c r="J16" s="8">
        <v>4.8000000000000001E-2</v>
      </c>
      <c r="K16" s="8">
        <v>4.3999999999999997E-2</v>
      </c>
      <c r="L16" s="8">
        <v>4.2999999999999997E-2</v>
      </c>
      <c r="M16" s="8">
        <v>4.2999999999999997E-2</v>
      </c>
    </row>
    <row r="17" spans="1:13" x14ac:dyDescent="0.35">
      <c r="A17" s="7" t="s">
        <v>20</v>
      </c>
      <c r="B17" s="8">
        <v>6.7000000000000004E-2</v>
      </c>
      <c r="C17" s="8">
        <v>7.0999999999999994E-2</v>
      </c>
      <c r="D17" s="8">
        <v>6.2E-2</v>
      </c>
      <c r="E17" s="8">
        <v>4.3999999999999997E-2</v>
      </c>
      <c r="F17" s="8">
        <v>4.4999999999999998E-2</v>
      </c>
      <c r="G17" s="8">
        <v>4.4999999999999998E-2</v>
      </c>
      <c r="H17" s="8">
        <v>0.22600000000000001</v>
      </c>
      <c r="I17" s="8">
        <v>0.223</v>
      </c>
      <c r="J17" s="8">
        <v>0.246</v>
      </c>
      <c r="K17" s="8">
        <v>4.1000000000000002E-2</v>
      </c>
      <c r="L17" s="8">
        <v>4.2000000000000003E-2</v>
      </c>
      <c r="M17" s="8">
        <v>4.3999999999999997E-2</v>
      </c>
    </row>
    <row r="18" spans="1:13" x14ac:dyDescent="0.35">
      <c r="A18" s="7" t="s">
        <v>21</v>
      </c>
      <c r="B18" s="8">
        <v>4.2999999999999997E-2</v>
      </c>
      <c r="C18" s="8">
        <v>3.9E-2</v>
      </c>
      <c r="D18" s="8">
        <v>0.04</v>
      </c>
      <c r="E18" s="8">
        <v>4.5999999999999999E-2</v>
      </c>
      <c r="F18" s="8">
        <v>4.5999999999999999E-2</v>
      </c>
      <c r="G18" s="8">
        <v>4.5999999999999999E-2</v>
      </c>
      <c r="H18" s="8">
        <v>8.3000000000000004E-2</v>
      </c>
      <c r="I18" s="8">
        <v>0.08</v>
      </c>
      <c r="J18" s="8">
        <v>7.6999999999999999E-2</v>
      </c>
      <c r="K18" s="8">
        <v>4.7E-2</v>
      </c>
      <c r="L18" s="8">
        <v>4.7E-2</v>
      </c>
      <c r="M18" s="8">
        <v>0.05</v>
      </c>
    </row>
    <row r="19" spans="1:13" x14ac:dyDescent="0.35">
      <c r="A19" s="7" t="s">
        <v>22</v>
      </c>
      <c r="B19" s="8">
        <v>3.9E-2</v>
      </c>
      <c r="C19" s="8">
        <v>3.9E-2</v>
      </c>
      <c r="D19" s="8">
        <v>3.7999999999999999E-2</v>
      </c>
      <c r="E19" s="8">
        <v>4.2999999999999997E-2</v>
      </c>
      <c r="F19" s="8">
        <v>4.3999999999999997E-2</v>
      </c>
      <c r="G19" s="8">
        <v>4.1000000000000002E-2</v>
      </c>
      <c r="H19" s="8">
        <v>4.2999999999999997E-2</v>
      </c>
      <c r="I19" s="8">
        <v>4.2999999999999997E-2</v>
      </c>
      <c r="J19" s="8">
        <v>4.3999999999999997E-2</v>
      </c>
      <c r="K19" s="8">
        <v>4.8000000000000001E-2</v>
      </c>
      <c r="L19" s="8">
        <v>4.9000000000000002E-2</v>
      </c>
      <c r="M19" s="8">
        <v>4.7E-2</v>
      </c>
    </row>
    <row r="21" spans="1:13" x14ac:dyDescent="0.35">
      <c r="A21" s="9" t="s">
        <v>23</v>
      </c>
      <c r="B21" s="10">
        <v>1</v>
      </c>
      <c r="C21" s="10">
        <v>2</v>
      </c>
      <c r="D21" s="10">
        <v>3</v>
      </c>
      <c r="E21" s="10">
        <v>4</v>
      </c>
      <c r="F21" s="10">
        <v>5</v>
      </c>
      <c r="G21" s="10">
        <v>6</v>
      </c>
      <c r="H21" s="10">
        <v>7</v>
      </c>
      <c r="I21" s="10">
        <v>8</v>
      </c>
      <c r="J21" s="10">
        <v>9</v>
      </c>
      <c r="K21" s="10">
        <v>10</v>
      </c>
      <c r="L21" s="10">
        <v>11</v>
      </c>
      <c r="M21" s="10">
        <v>12</v>
      </c>
    </row>
    <row r="22" spans="1:13" x14ac:dyDescent="0.35">
      <c r="A22" s="10" t="s">
        <v>14</v>
      </c>
      <c r="B22" s="11" t="s">
        <v>57</v>
      </c>
      <c r="C22" s="11" t="s">
        <v>57</v>
      </c>
      <c r="D22" s="11" t="s">
        <v>57</v>
      </c>
      <c r="E22" s="12" t="s">
        <v>94</v>
      </c>
      <c r="F22" s="12" t="s">
        <v>94</v>
      </c>
      <c r="G22" s="12" t="s">
        <v>94</v>
      </c>
      <c r="H22" s="12" t="s">
        <v>102</v>
      </c>
      <c r="I22" s="12" t="s">
        <v>102</v>
      </c>
      <c r="J22" s="12" t="s">
        <v>102</v>
      </c>
      <c r="K22" s="12" t="s">
        <v>106</v>
      </c>
      <c r="L22" s="12" t="s">
        <v>106</v>
      </c>
      <c r="M22" s="12" t="s">
        <v>106</v>
      </c>
    </row>
    <row r="23" spans="1:13" x14ac:dyDescent="0.35">
      <c r="A23" s="10" t="s">
        <v>15</v>
      </c>
      <c r="B23" s="11" t="s">
        <v>58</v>
      </c>
      <c r="C23" s="11" t="s">
        <v>58</v>
      </c>
      <c r="D23" s="11" t="s">
        <v>58</v>
      </c>
      <c r="E23" s="12" t="s">
        <v>95</v>
      </c>
      <c r="F23" s="12" t="s">
        <v>95</v>
      </c>
      <c r="G23" s="12" t="s">
        <v>95</v>
      </c>
      <c r="H23" s="12" t="s">
        <v>103</v>
      </c>
      <c r="I23" s="12" t="s">
        <v>103</v>
      </c>
      <c r="J23" s="12" t="s">
        <v>103</v>
      </c>
      <c r="K23" s="12" t="s">
        <v>107</v>
      </c>
      <c r="L23" s="12" t="s">
        <v>107</v>
      </c>
      <c r="M23" s="12" t="s">
        <v>107</v>
      </c>
    </row>
    <row r="24" spans="1:13" x14ac:dyDescent="0.35">
      <c r="A24" s="10" t="s">
        <v>17</v>
      </c>
      <c r="B24" s="11" t="s">
        <v>59</v>
      </c>
      <c r="C24" s="11" t="s">
        <v>59</v>
      </c>
      <c r="D24" s="11" t="s">
        <v>59</v>
      </c>
      <c r="E24" s="12" t="s">
        <v>96</v>
      </c>
      <c r="F24" s="12" t="s">
        <v>96</v>
      </c>
      <c r="G24" s="12" t="s">
        <v>96</v>
      </c>
      <c r="H24" s="12" t="s">
        <v>109</v>
      </c>
      <c r="I24" s="12" t="s">
        <v>109</v>
      </c>
      <c r="J24" s="12" t="s">
        <v>109</v>
      </c>
      <c r="K24" s="12" t="s">
        <v>108</v>
      </c>
      <c r="L24" s="12" t="s">
        <v>108</v>
      </c>
      <c r="M24" s="12" t="s">
        <v>108</v>
      </c>
    </row>
    <row r="25" spans="1:13" ht="25" x14ac:dyDescent="0.35">
      <c r="A25" s="10" t="s">
        <v>18</v>
      </c>
      <c r="B25" s="11" t="s">
        <v>60</v>
      </c>
      <c r="C25" s="11" t="s">
        <v>60</v>
      </c>
      <c r="D25" s="11" t="s">
        <v>60</v>
      </c>
      <c r="E25" s="12" t="s">
        <v>97</v>
      </c>
      <c r="F25" s="12" t="s">
        <v>97</v>
      </c>
      <c r="G25" s="12" t="s">
        <v>97</v>
      </c>
      <c r="H25" s="12" t="s">
        <v>110</v>
      </c>
      <c r="I25" s="12" t="s">
        <v>110</v>
      </c>
      <c r="J25" s="12" t="s">
        <v>110</v>
      </c>
      <c r="K25" s="12" t="s">
        <v>113</v>
      </c>
      <c r="L25" s="12" t="s">
        <v>113</v>
      </c>
      <c r="M25" s="12" t="s">
        <v>113</v>
      </c>
    </row>
    <row r="26" spans="1:13" x14ac:dyDescent="0.35">
      <c r="A26" s="10" t="s">
        <v>19</v>
      </c>
      <c r="B26" s="11" t="s">
        <v>61</v>
      </c>
      <c r="C26" s="11" t="s">
        <v>61</v>
      </c>
      <c r="D26" s="11" t="s">
        <v>61</v>
      </c>
      <c r="E26" s="12" t="s">
        <v>98</v>
      </c>
      <c r="F26" s="12" t="s">
        <v>98</v>
      </c>
      <c r="G26" s="12" t="s">
        <v>98</v>
      </c>
      <c r="H26" s="12" t="s">
        <v>104</v>
      </c>
      <c r="I26" s="12" t="s">
        <v>104</v>
      </c>
      <c r="J26" s="12" t="s">
        <v>104</v>
      </c>
      <c r="K26" s="12" t="s">
        <v>115</v>
      </c>
      <c r="L26" s="12" t="s">
        <v>115</v>
      </c>
      <c r="M26" s="12" t="s">
        <v>115</v>
      </c>
    </row>
    <row r="27" spans="1:13" ht="25" x14ac:dyDescent="0.35">
      <c r="A27" s="10" t="s">
        <v>20</v>
      </c>
      <c r="B27" s="11" t="s">
        <v>62</v>
      </c>
      <c r="C27" s="11" t="s">
        <v>62</v>
      </c>
      <c r="D27" s="11" t="s">
        <v>62</v>
      </c>
      <c r="E27" s="12" t="s">
        <v>99</v>
      </c>
      <c r="F27" s="12" t="s">
        <v>99</v>
      </c>
      <c r="G27" s="12" t="s">
        <v>99</v>
      </c>
      <c r="H27" s="12" t="s">
        <v>111</v>
      </c>
      <c r="I27" s="12" t="s">
        <v>111</v>
      </c>
      <c r="J27" s="12" t="s">
        <v>111</v>
      </c>
      <c r="K27" s="12" t="s">
        <v>114</v>
      </c>
      <c r="L27" s="12" t="s">
        <v>114</v>
      </c>
      <c r="M27" s="12" t="s">
        <v>114</v>
      </c>
    </row>
    <row r="28" spans="1:13" ht="21.75" customHeight="1" x14ac:dyDescent="0.35">
      <c r="A28" s="10" t="s">
        <v>21</v>
      </c>
      <c r="B28" s="11" t="s">
        <v>63</v>
      </c>
      <c r="C28" s="11" t="s">
        <v>63</v>
      </c>
      <c r="D28" s="11" t="s">
        <v>63</v>
      </c>
      <c r="E28" s="12" t="s">
        <v>100</v>
      </c>
      <c r="F28" s="12" t="s">
        <v>100</v>
      </c>
      <c r="G28" s="12" t="s">
        <v>100</v>
      </c>
      <c r="H28" s="12" t="s">
        <v>105</v>
      </c>
      <c r="I28" s="12" t="s">
        <v>105</v>
      </c>
      <c r="J28" s="12" t="s">
        <v>105</v>
      </c>
      <c r="K28" s="12" t="s">
        <v>16</v>
      </c>
      <c r="L28" s="12" t="s">
        <v>16</v>
      </c>
      <c r="M28" s="12" t="s">
        <v>16</v>
      </c>
    </row>
    <row r="29" spans="1:13" ht="25" x14ac:dyDescent="0.35">
      <c r="A29" s="10" t="s">
        <v>22</v>
      </c>
      <c r="B29" s="11" t="s">
        <v>60</v>
      </c>
      <c r="C29" s="11" t="s">
        <v>60</v>
      </c>
      <c r="D29" s="11" t="s">
        <v>60</v>
      </c>
      <c r="E29" s="12" t="s">
        <v>101</v>
      </c>
      <c r="F29" s="12" t="s">
        <v>101</v>
      </c>
      <c r="G29" s="12" t="s">
        <v>101</v>
      </c>
      <c r="H29" s="12" t="s">
        <v>112</v>
      </c>
      <c r="I29" s="12" t="s">
        <v>112</v>
      </c>
      <c r="J29" s="12" t="s">
        <v>112</v>
      </c>
      <c r="K29" s="12" t="s">
        <v>16</v>
      </c>
      <c r="L29" s="12" t="s">
        <v>16</v>
      </c>
      <c r="M29" s="12" t="s">
        <v>16</v>
      </c>
    </row>
    <row r="31" spans="1:13" x14ac:dyDescent="0.35">
      <c r="A31" s="9" t="s">
        <v>47</v>
      </c>
      <c r="B31" s="10">
        <v>1</v>
      </c>
      <c r="C31" s="10">
        <v>2</v>
      </c>
      <c r="D31" s="10">
        <v>3</v>
      </c>
      <c r="E31" s="10">
        <v>4</v>
      </c>
      <c r="F31" s="10">
        <v>5</v>
      </c>
      <c r="G31" s="10">
        <v>6</v>
      </c>
      <c r="H31" s="10">
        <v>7</v>
      </c>
      <c r="I31" s="10">
        <v>8</v>
      </c>
      <c r="J31" s="10">
        <v>9</v>
      </c>
      <c r="K31" s="10">
        <v>10</v>
      </c>
      <c r="L31" s="10">
        <v>11</v>
      </c>
      <c r="M31" s="10">
        <v>12</v>
      </c>
    </row>
    <row r="32" spans="1:13" x14ac:dyDescent="0.35">
      <c r="A32" s="10" t="s">
        <v>14</v>
      </c>
      <c r="B32" s="12">
        <v>1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35">
      <c r="A33" s="10" t="s">
        <v>15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35">
      <c r="A34" s="10" t="s">
        <v>17</v>
      </c>
      <c r="B34" s="12">
        <v>1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35">
      <c r="A35" s="10" t="s">
        <v>18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35">
      <c r="A36" s="10" t="s">
        <v>19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35">
      <c r="A37" s="10" t="s">
        <v>20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35">
      <c r="A38" s="10" t="s">
        <v>21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35">
      <c r="A39" s="10" t="s">
        <v>22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STDs Check</vt:lpstr>
      <vt:lpstr>Plate Paste</vt:lpstr>
      <vt:lpstr>STDs Export</vt:lpstr>
      <vt:lpstr>Samples_1</vt:lpstr>
      <vt:lpstr>Source</vt:lpstr>
      <vt:lpstr>Samples_2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Montgomery, Ashleigh</cp:lastModifiedBy>
  <dcterms:created xsi:type="dcterms:W3CDTF">2023-06-07T18:44:53Z</dcterms:created>
  <dcterms:modified xsi:type="dcterms:W3CDTF">2024-09-18T17:01:12Z</dcterms:modified>
</cp:coreProperties>
</file>