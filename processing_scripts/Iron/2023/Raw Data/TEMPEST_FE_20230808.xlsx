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89" documentId="8_{28E39826-993A-4001-954B-1943C60599F2}" xr6:coauthVersionLast="47" xr6:coauthVersionMax="47" xr10:uidLastSave="{F0A5E677-770F-4350-BE02-F1DED85CF439}"/>
  <bookViews>
    <workbookView xWindow="-110" yWindow="-110" windowWidth="19420" windowHeight="10300" firstSheet="1" activeTab="7" xr2:uid="{3C70F900-5AE2-4121-9D3D-495ECF1128CC}"/>
  </bookViews>
  <sheets>
    <sheet name="Read Me" sheetId="5" r:id="rId1"/>
    <sheet name="Lab Check" sheetId="2" r:id="rId2"/>
    <sheet name="Lab Pasting" sheetId="6" r:id="rId3"/>
    <sheet name="STDs Template" sheetId="1" r:id="rId4"/>
    <sheet name="Plate 1" sheetId="4" r:id="rId5"/>
    <sheet name="Plate 2" sheetId="8" r:id="rId6"/>
    <sheet name="Plate 3" sheetId="10" r:id="rId7"/>
    <sheet name="Plate 4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9" i="2"/>
  <c r="B5" i="2"/>
  <c r="O13" i="2"/>
  <c r="O12" i="2"/>
  <c r="O28" i="2"/>
  <c r="Q35" i="2"/>
  <c r="R35" i="2"/>
  <c r="P35" i="2"/>
  <c r="O29" i="2"/>
  <c r="O27" i="2"/>
  <c r="O26" i="2"/>
  <c r="O25" i="2"/>
  <c r="O24" i="2"/>
  <c r="O23" i="2"/>
  <c r="O22" i="2"/>
  <c r="O21" i="2"/>
  <c r="O20" i="2"/>
  <c r="O19" i="2"/>
  <c r="O18" i="2"/>
  <c r="O14" i="2"/>
  <c r="O11" i="2"/>
  <c r="O10" i="2"/>
  <c r="O9" i="2"/>
  <c r="O8" i="2"/>
  <c r="O7" i="2"/>
  <c r="O6" i="2"/>
  <c r="O5" i="2"/>
  <c r="O4" i="2"/>
  <c r="O3" i="2"/>
  <c r="B29" i="2"/>
  <c r="B28" i="2"/>
  <c r="B27" i="2"/>
  <c r="B26" i="2"/>
  <c r="B25" i="2"/>
  <c r="B24" i="2"/>
  <c r="B23" i="2"/>
  <c r="B22" i="2"/>
  <c r="B21" i="2"/>
  <c r="B20" i="2"/>
  <c r="B19" i="2"/>
  <c r="B18" i="2"/>
  <c r="B14" i="2"/>
  <c r="B10" i="2"/>
  <c r="B8" i="2"/>
  <c r="B7" i="2"/>
  <c r="B6" i="2"/>
  <c r="B4" i="2"/>
  <c r="B3" i="2"/>
</calcChain>
</file>

<file path=xl/sharedStrings.xml><?xml version="1.0" encoding="utf-8"?>
<sst xmlns="http://schemas.openxmlformats.org/spreadsheetml/2006/main" count="809" uniqueCount="145">
  <si>
    <t>Abs1</t>
  </si>
  <si>
    <t>A</t>
  </si>
  <si>
    <t>B</t>
  </si>
  <si>
    <t>C</t>
  </si>
  <si>
    <t>D</t>
  </si>
  <si>
    <t>E</t>
  </si>
  <si>
    <t>F</t>
  </si>
  <si>
    <t>G</t>
  </si>
  <si>
    <t>H</t>
  </si>
  <si>
    <t>Abs2</t>
  </si>
  <si>
    <t>IDs</t>
  </si>
  <si>
    <t>Dilutions</t>
  </si>
  <si>
    <t>Conc_uM</t>
  </si>
  <si>
    <t>FeII Stds</t>
  </si>
  <si>
    <t>Avg Abs</t>
  </si>
  <si>
    <t>As3</t>
  </si>
  <si>
    <t>FeIII Stds</t>
  </si>
  <si>
    <t xml:space="preserve">First Run of the Plate (Fe2 read) </t>
  </si>
  <si>
    <t xml:space="preserve">Second Run of the Plate (Fe Total read) </t>
  </si>
  <si>
    <t>Red. Eff</t>
  </si>
  <si>
    <t>60 uM fe(III)</t>
  </si>
  <si>
    <t xml:space="preserve">&gt;85% </t>
  </si>
  <si>
    <t>E1</t>
  </si>
  <si>
    <t>E2</t>
  </si>
  <si>
    <t>E3</t>
  </si>
  <si>
    <t>NA</t>
  </si>
  <si>
    <t>This sheet is to be used to organize and prepare Iron microplate data for calculation</t>
  </si>
  <si>
    <t xml:space="preserve">Lab Check: </t>
  </si>
  <si>
    <t xml:space="preserve">This sheet is used to check that standards and reduction efficiencies are good while running samples in the lab </t>
  </si>
  <si>
    <t xml:space="preserve">Lab Pasting: </t>
  </si>
  <si>
    <t xml:space="preserve">This sheet is used to paste microplate data from the Gen5 software so that it can be worked with and checked during runs </t>
  </si>
  <si>
    <t xml:space="preserve">STDs Template: </t>
  </si>
  <si>
    <t xml:space="preserve">This sheet is a template to paste your FE absorbance data into; you should also fill out the IDS and Dilutions here - this should be saved as a csv and will serve as your standards sheet in the analysis code </t>
  </si>
  <si>
    <t xml:space="preserve">If you have multiple standards plates you can save them as separate csv files and combine them in R </t>
  </si>
  <si>
    <t xml:space="preserve">Samples Template: </t>
  </si>
  <si>
    <t xml:space="preserve">This sheet is a template to paste your FE absorbance data into; you should also fill out the IDS and Dilutions here - this should be saved as a csv and will serve as your samples sheet in the analysis code </t>
  </si>
  <si>
    <t xml:space="preserve">If you have multiple plates you can save them as separate csv files and then you can combine data in R or run one analysis code per plate (whatever works best for you)  </t>
  </si>
  <si>
    <t>Updated: 06-01-2023 by Stephanie J. Wilson</t>
  </si>
  <si>
    <t>stds1</t>
  </si>
  <si>
    <t>stds2</t>
  </si>
  <si>
    <t xml:space="preserve">Plate 1 - 230612 &amp; 230614 </t>
  </si>
  <si>
    <t>Plate 2 - 230617 &amp;230627 SW</t>
  </si>
  <si>
    <t>Plate 3 - 20230627 FW &amp; C</t>
  </si>
  <si>
    <t>Plate 4 - 230707</t>
  </si>
  <si>
    <t>S1</t>
  </si>
  <si>
    <t>S2</t>
  </si>
  <si>
    <t>SW_E3_20230612</t>
  </si>
  <si>
    <t>SW_H6_20230612</t>
  </si>
  <si>
    <t>SW_D5_20230612</t>
  </si>
  <si>
    <t>FW_F6_20230612</t>
  </si>
  <si>
    <t>FW_I5_20230612</t>
  </si>
  <si>
    <t>C_H6_20230612</t>
  </si>
  <si>
    <t>SW_B4_20230614</t>
  </si>
  <si>
    <t>SW_C3_20230614</t>
  </si>
  <si>
    <t>SW_E3_20230614</t>
  </si>
  <si>
    <t>SW_H6_20230614</t>
  </si>
  <si>
    <t>SW_D5_20230614</t>
  </si>
  <si>
    <t>FW_I5_20230614</t>
  </si>
  <si>
    <t>C_H6_20230614</t>
  </si>
  <si>
    <t>FW_D5_20230614</t>
  </si>
  <si>
    <t>SW_F6_20230614</t>
  </si>
  <si>
    <t>FW_C3_20230614</t>
  </si>
  <si>
    <t>FW_C3_20230614_dup</t>
  </si>
  <si>
    <t>FW_C6_20230614</t>
  </si>
  <si>
    <t>FW_C6_20230614_spk</t>
  </si>
  <si>
    <t>FW_H3_20230614</t>
  </si>
  <si>
    <t>SW_B4_20230617</t>
  </si>
  <si>
    <t>SW_C3_20230617</t>
  </si>
  <si>
    <t>SW_D5_20230617</t>
  </si>
  <si>
    <t>SW_E3_20230617</t>
  </si>
  <si>
    <t>SW_F6_20230617</t>
  </si>
  <si>
    <t>FW_C3_20230617</t>
  </si>
  <si>
    <t>FW_D5_20230617</t>
  </si>
  <si>
    <t>FW_H6_20230617</t>
  </si>
  <si>
    <t>FW_I5_20230617</t>
  </si>
  <si>
    <t>SW_B4_20230627</t>
  </si>
  <si>
    <t>SW_C3_20230627</t>
  </si>
  <si>
    <t>SW_C6_20230627</t>
  </si>
  <si>
    <t>SW_D5_20230627</t>
  </si>
  <si>
    <t>SW_D5_20230627_dup</t>
  </si>
  <si>
    <t>SW_E3_20230627</t>
  </si>
  <si>
    <t>SW_E3_20230627_spk</t>
  </si>
  <si>
    <t>SW_F4_20230627</t>
  </si>
  <si>
    <t>SW_F6_20230627</t>
  </si>
  <si>
    <t>SW_H3_20230627</t>
  </si>
  <si>
    <t>SW_H6_20230627</t>
  </si>
  <si>
    <t>SW_I5_20230627</t>
  </si>
  <si>
    <t>FW_B4_20230627</t>
  </si>
  <si>
    <t>FW_C3_20230627</t>
  </si>
  <si>
    <t>FW_D5_20230627</t>
  </si>
  <si>
    <t>FW_E3_20230627</t>
  </si>
  <si>
    <t>FW_F4_20230627</t>
  </si>
  <si>
    <t>FW_F6_20230627</t>
  </si>
  <si>
    <t>FW_H3_20230627</t>
  </si>
  <si>
    <t>FW_H6_20230627</t>
  </si>
  <si>
    <t>FW_I5_20230627</t>
  </si>
  <si>
    <t>C_C3_20230628</t>
  </si>
  <si>
    <t>C_E3_20230628</t>
  </si>
  <si>
    <t>C_E3_20230628_sup</t>
  </si>
  <si>
    <t>C_F4_20230628</t>
  </si>
  <si>
    <t>C_D5_20230628</t>
  </si>
  <si>
    <t>C_C6_20230628</t>
  </si>
  <si>
    <t>C_F4_20230628_spk</t>
  </si>
  <si>
    <t>C_F6_20230628</t>
  </si>
  <si>
    <t>C_H3_20230628</t>
  </si>
  <si>
    <t>C_H6_20230628</t>
  </si>
  <si>
    <t>C_I5_20230628</t>
  </si>
  <si>
    <t>SW_B4_20230707</t>
  </si>
  <si>
    <t>SW_C3_20230707</t>
  </si>
  <si>
    <t>SW_E3_20230707</t>
  </si>
  <si>
    <t>SW_F6_20230707</t>
  </si>
  <si>
    <t>FW_C3_20230707</t>
  </si>
  <si>
    <t>FW_D5_20230707</t>
  </si>
  <si>
    <t>FW_F4_20230707</t>
  </si>
  <si>
    <t>FW_H6_20230707</t>
  </si>
  <si>
    <t>FW_I5_20230707</t>
  </si>
  <si>
    <t>C_C6_20230710</t>
  </si>
  <si>
    <t>C_H6_20230710</t>
  </si>
  <si>
    <t>C_H6_20230707</t>
  </si>
  <si>
    <t>C_H6_20230707_dup</t>
  </si>
  <si>
    <t>C_H6_20230710_spk</t>
  </si>
  <si>
    <t>C_I5_20230710</t>
  </si>
  <si>
    <t>Fe_2_60 uM</t>
  </si>
  <si>
    <t>Fe_2_45 uM</t>
  </si>
  <si>
    <t>Fe_2_30 uM</t>
  </si>
  <si>
    <t>Fe_2_18 uM</t>
  </si>
  <si>
    <t>Fe_2_9 uM</t>
  </si>
  <si>
    <t>Fe_2_6 uM</t>
  </si>
  <si>
    <t>Fe_2_3 uM</t>
  </si>
  <si>
    <t>Fe_2_100_uM</t>
  </si>
  <si>
    <t>Fe_2_250 uM</t>
  </si>
  <si>
    <t>Fe_2_500 uM</t>
  </si>
  <si>
    <t>Fe_2_0.6 uM</t>
  </si>
  <si>
    <t>0.5 M HCl</t>
  </si>
  <si>
    <t>Fe_3_60 uM</t>
  </si>
  <si>
    <t>Fe_3_45 uM</t>
  </si>
  <si>
    <t>Fe_3_30 uM</t>
  </si>
  <si>
    <t>Fe_3_18 uM</t>
  </si>
  <si>
    <t>Fe_3_9 uM</t>
  </si>
  <si>
    <t>Fe_3_6 uM</t>
  </si>
  <si>
    <t>Fe_3_3 uM</t>
  </si>
  <si>
    <t>Fe_3_0.6 uM</t>
  </si>
  <si>
    <t>Fe_3_100 uM</t>
  </si>
  <si>
    <t>Fe_3_250 uM</t>
  </si>
  <si>
    <t>Fe_3_500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</si>
</sst>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0" fillId="6" borderId="0" xfId="0" applyFill="1"/>
    <xf numFmtId="0" fontId="3" fillId="7" borderId="0" xfId="0" applyFont="1" applyFill="1" applyAlignment="1">
      <alignment horizontal="center" vertical="center" wrapText="1"/>
    </xf>
    <xf numFmtId="0" fontId="0" fillId="7" borderId="0" xfId="0" applyFill="1"/>
    <xf numFmtId="2" fontId="0" fillId="8" borderId="0" xfId="0" applyNumberFormat="1" applyFill="1"/>
    <xf numFmtId="0" fontId="6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" fontId="4" fillId="0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Check'!$B$17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Check'!$A$18:$A$29</c:f>
              <c:numCache>
                <c:formatCode>General</c:formatCode>
                <c:ptCount val="12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  <c:pt idx="9">
                  <c:v>250</c:v>
                </c:pt>
                <c:pt idx="10">
                  <c:v>500</c:v>
                </c:pt>
                <c:pt idx="11">
                  <c:v>0</c:v>
                </c:pt>
              </c:numCache>
            </c:numRef>
          </c:xVal>
          <c:yVal>
            <c:numRef>
              <c:f>'Lab Check'!$B$18:$B$29</c:f>
              <c:numCache>
                <c:formatCode>General</c:formatCode>
                <c:ptCount val="12"/>
                <c:pt idx="0">
                  <c:v>3.8666666666666662E-2</c:v>
                </c:pt>
                <c:pt idx="1">
                  <c:v>3.9E-2</c:v>
                </c:pt>
                <c:pt idx="2">
                  <c:v>3.7666666666666661E-2</c:v>
                </c:pt>
                <c:pt idx="3">
                  <c:v>3.7666666666666661E-2</c:v>
                </c:pt>
                <c:pt idx="4">
                  <c:v>3.7666666666666661E-2</c:v>
                </c:pt>
                <c:pt idx="5">
                  <c:v>3.7333333333333329E-2</c:v>
                </c:pt>
                <c:pt idx="6">
                  <c:v>3.833333333333333E-2</c:v>
                </c:pt>
                <c:pt idx="7">
                  <c:v>3.7999999999999999E-2</c:v>
                </c:pt>
                <c:pt idx="8">
                  <c:v>3.9E-2</c:v>
                </c:pt>
                <c:pt idx="9">
                  <c:v>4.1000000000000002E-2</c:v>
                </c:pt>
                <c:pt idx="10">
                  <c:v>4.2333333333333334E-2</c:v>
                </c:pt>
                <c:pt idx="11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F-4CB4-AA21-806819B9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856232"/>
        <c:axId val="428905360"/>
      </c:scatterChart>
      <c:valAx>
        <c:axId val="45585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05360"/>
        <c:crosses val="autoZero"/>
        <c:crossBetween val="midCat"/>
      </c:valAx>
      <c:valAx>
        <c:axId val="428905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5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484762586494869"/>
                  <c:y val="2.774011299435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Check'!$A$3:$A$10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'Lab Check'!$B$3:$B$10</c:f>
              <c:numCache>
                <c:formatCode>General</c:formatCode>
                <c:ptCount val="8"/>
                <c:pt idx="0">
                  <c:v>0.16533333333333333</c:v>
                </c:pt>
                <c:pt idx="1">
                  <c:v>0.13500000000000001</c:v>
                </c:pt>
                <c:pt idx="2">
                  <c:v>9.2999999999999999E-2</c:v>
                </c:pt>
                <c:pt idx="3">
                  <c:v>7.3666666666666658E-2</c:v>
                </c:pt>
                <c:pt idx="4">
                  <c:v>5.566666666666667E-2</c:v>
                </c:pt>
                <c:pt idx="5">
                  <c:v>4.8666666666666671E-2</c:v>
                </c:pt>
                <c:pt idx="6">
                  <c:v>4.2999999999999997E-2</c:v>
                </c:pt>
                <c:pt idx="7">
                  <c:v>3.9E-2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B-420C-BFCC-AFB06D10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Fe 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484762586494869"/>
                  <c:y val="2.774011299435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Check'!$A$11:$A$13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Check'!$B$11:$B$13</c:f>
              <c:numCache>
                <c:formatCode>General</c:formatCode>
                <c:ptCount val="3"/>
                <c:pt idx="0">
                  <c:v>0.26750000000000002</c:v>
                </c:pt>
                <c:pt idx="1">
                  <c:v>0.51950000000000007</c:v>
                </c:pt>
                <c:pt idx="2">
                  <c:v>0.79899999999999993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9-4D51-9C8C-B04A745A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Check'!$N$3:$N$11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Check'!$O$3:$O$11</c:f>
              <c:numCache>
                <c:formatCode>General</c:formatCode>
                <c:ptCount val="9"/>
                <c:pt idx="0">
                  <c:v>0.28866666666666663</c:v>
                </c:pt>
                <c:pt idx="1">
                  <c:v>0.21833333333333335</c:v>
                </c:pt>
                <c:pt idx="2">
                  <c:v>0.17666666666666667</c:v>
                </c:pt>
                <c:pt idx="3">
                  <c:v>0.11033333333333332</c:v>
                </c:pt>
                <c:pt idx="4">
                  <c:v>7.5333333333333322E-2</c:v>
                </c:pt>
                <c:pt idx="5">
                  <c:v>6.3333333333333339E-2</c:v>
                </c:pt>
                <c:pt idx="6">
                  <c:v>5.1999999999999998E-2</c:v>
                </c:pt>
                <c:pt idx="7">
                  <c:v>0.04</c:v>
                </c:pt>
                <c:pt idx="8">
                  <c:v>0.41199999999999998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5-4360-A883-7460D6FA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Check'!$N$11:$N$13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Check'!$O$11:$O$13</c:f>
              <c:numCache>
                <c:formatCode>General</c:formatCode>
                <c:ptCount val="3"/>
                <c:pt idx="0">
                  <c:v>0.41199999999999998</c:v>
                </c:pt>
                <c:pt idx="1">
                  <c:v>0.70299999999999996</c:v>
                </c:pt>
                <c:pt idx="2">
                  <c:v>0.94100000000000006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30-4A44-A1A5-151C93C07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Check'!$N$18:$N$26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Check'!$O$18:$O$26</c:f>
              <c:numCache>
                <c:formatCode>General</c:formatCode>
                <c:ptCount val="9"/>
                <c:pt idx="0">
                  <c:v>0.16500000000000001</c:v>
                </c:pt>
                <c:pt idx="1">
                  <c:v>0.13266666666666668</c:v>
                </c:pt>
                <c:pt idx="2">
                  <c:v>0.106</c:v>
                </c:pt>
                <c:pt idx="3">
                  <c:v>7.8333333333333324E-2</c:v>
                </c:pt>
                <c:pt idx="4">
                  <c:v>5.9333333333333328E-2</c:v>
                </c:pt>
                <c:pt idx="5">
                  <c:v>5.7999999999999996E-2</c:v>
                </c:pt>
                <c:pt idx="6">
                  <c:v>4.5333333333333337E-2</c:v>
                </c:pt>
                <c:pt idx="7">
                  <c:v>3.9666666666666663E-2</c:v>
                </c:pt>
                <c:pt idx="8">
                  <c:v>0.24233333333333337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A1-471E-9A5E-8C2E693E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Check'!$N$26:$N$28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Check'!$O$26:$O$28</c:f>
              <c:numCache>
                <c:formatCode>General</c:formatCode>
                <c:ptCount val="3"/>
                <c:pt idx="0">
                  <c:v>0.24233333333333337</c:v>
                </c:pt>
                <c:pt idx="1">
                  <c:v>0.30499999999999999</c:v>
                </c:pt>
                <c:pt idx="2">
                  <c:v>0.29233333333333333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1A-4C7D-B85C-AA0AF33DB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18</xdr:row>
      <xdr:rowOff>171449</xdr:rowOff>
    </xdr:from>
    <xdr:to>
      <xdr:col>11</xdr:col>
      <xdr:colOff>409575</xdr:colOff>
      <xdr:row>31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89A68-ECD8-3FAF-B81A-3C600C5F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</xdr:row>
      <xdr:rowOff>104776</xdr:rowOff>
    </xdr:from>
    <xdr:to>
      <xdr:col>8</xdr:col>
      <xdr:colOff>571500</xdr:colOff>
      <xdr:row>11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28377D-13F9-3787-7B28-C2111CBC6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0</xdr:row>
      <xdr:rowOff>133350</xdr:rowOff>
    </xdr:from>
    <xdr:to>
      <xdr:col>12</xdr:col>
      <xdr:colOff>123825</xdr:colOff>
      <xdr:row>10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0655C2-1EA9-4811-8B0F-4E6A2FA4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252412</xdr:colOff>
      <xdr:row>2</xdr:row>
      <xdr:rowOff>76200</xdr:rowOff>
    </xdr:from>
    <xdr:to>
      <xdr:col>23</xdr:col>
      <xdr:colOff>457200</xdr:colOff>
      <xdr:row>13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D0193D-CA6F-589B-CA8D-8B7E5D2DB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600075</xdr:colOff>
      <xdr:row>2</xdr:row>
      <xdr:rowOff>152400</xdr:rowOff>
    </xdr:from>
    <xdr:to>
      <xdr:col>29</xdr:col>
      <xdr:colOff>195263</xdr:colOff>
      <xdr:row>13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F83E57-792B-4657-ACC2-3B5495328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466725</xdr:colOff>
      <xdr:row>17</xdr:row>
      <xdr:rowOff>38100</xdr:rowOff>
    </xdr:from>
    <xdr:to>
      <xdr:col>24</xdr:col>
      <xdr:colOff>61913</xdr:colOff>
      <xdr:row>28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89CDAF-0054-437B-9EC0-E896DCE9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219075</xdr:colOff>
      <xdr:row>17</xdr:row>
      <xdr:rowOff>104775</xdr:rowOff>
    </xdr:from>
    <xdr:to>
      <xdr:col>29</xdr:col>
      <xdr:colOff>423863</xdr:colOff>
      <xdr:row>28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7F538C-7AE9-48A6-AC8F-735E9B430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8F39-E2D4-4065-BEA3-84CEA0E14388}">
  <sheetPr codeName="Sheet1"/>
  <dimension ref="A1:D11"/>
  <sheetViews>
    <sheetView workbookViewId="0">
      <selection activeCell="H28" sqref="H28"/>
    </sheetView>
  </sheetViews>
  <sheetFormatPr defaultRowHeight="14.5" x14ac:dyDescent="0.35"/>
  <sheetData>
    <row r="1" spans="1:4" x14ac:dyDescent="0.35">
      <c r="A1" t="s">
        <v>37</v>
      </c>
    </row>
    <row r="4" spans="1:4" x14ac:dyDescent="0.35">
      <c r="B4" t="s">
        <v>26</v>
      </c>
    </row>
    <row r="6" spans="1:4" x14ac:dyDescent="0.35">
      <c r="B6" t="s">
        <v>27</v>
      </c>
      <c r="D6" t="s">
        <v>28</v>
      </c>
    </row>
    <row r="7" spans="1:4" x14ac:dyDescent="0.35">
      <c r="B7" t="s">
        <v>29</v>
      </c>
      <c r="D7" t="s">
        <v>30</v>
      </c>
    </row>
    <row r="8" spans="1:4" x14ac:dyDescent="0.35">
      <c r="B8" t="s">
        <v>31</v>
      </c>
      <c r="D8" t="s">
        <v>32</v>
      </c>
    </row>
    <row r="9" spans="1:4" x14ac:dyDescent="0.35">
      <c r="D9" t="s">
        <v>33</v>
      </c>
    </row>
    <row r="10" spans="1:4" x14ac:dyDescent="0.35">
      <c r="B10" t="s">
        <v>34</v>
      </c>
      <c r="D10" t="s">
        <v>35</v>
      </c>
    </row>
    <row r="11" spans="1:4" x14ac:dyDescent="0.35">
      <c r="D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F35D-FBA0-4DAC-9A7D-96D0AA14AEA1}">
  <sheetPr codeName="Sheet2"/>
  <dimension ref="A1:Y35"/>
  <sheetViews>
    <sheetView workbookViewId="0">
      <selection activeCell="H15" sqref="H15"/>
    </sheetView>
  </sheetViews>
  <sheetFormatPr defaultRowHeight="14.5" x14ac:dyDescent="0.35"/>
  <cols>
    <col min="13" max="13" width="5.7265625" style="14" customWidth="1"/>
  </cols>
  <sheetData>
    <row r="1" spans="1:25" x14ac:dyDescent="0.3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25" t="s">
        <v>18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x14ac:dyDescent="0.35">
      <c r="A2" s="13" t="s">
        <v>13</v>
      </c>
      <c r="B2" s="13" t="s">
        <v>14</v>
      </c>
      <c r="C2" s="13" t="s">
        <v>0</v>
      </c>
      <c r="D2" s="13" t="s">
        <v>9</v>
      </c>
      <c r="E2" s="13" t="s">
        <v>15</v>
      </c>
      <c r="N2" s="13" t="s">
        <v>13</v>
      </c>
      <c r="O2" s="13" t="s">
        <v>14</v>
      </c>
      <c r="P2" s="13" t="s">
        <v>0</v>
      </c>
      <c r="Q2" s="13" t="s">
        <v>9</v>
      </c>
      <c r="R2" s="13" t="s">
        <v>15</v>
      </c>
    </row>
    <row r="3" spans="1:25" x14ac:dyDescent="0.35">
      <c r="A3">
        <v>60</v>
      </c>
      <c r="B3">
        <f>AVERAGE(C3:E3)</f>
        <v>0.16533333333333333</v>
      </c>
      <c r="C3" s="3">
        <v>0.16200000000000001</v>
      </c>
      <c r="D3" s="3">
        <v>0.17399999999999999</v>
      </c>
      <c r="E3" s="3">
        <v>0.16</v>
      </c>
      <c r="N3">
        <v>60</v>
      </c>
      <c r="O3">
        <f>AVERAGE(P3:R3)</f>
        <v>0.28866666666666663</v>
      </c>
      <c r="P3">
        <v>0.27900000000000003</v>
      </c>
      <c r="Q3">
        <v>0.29399999999999998</v>
      </c>
      <c r="R3">
        <v>0.29299999999999998</v>
      </c>
    </row>
    <row r="4" spans="1:25" x14ac:dyDescent="0.35">
      <c r="A4">
        <v>45</v>
      </c>
      <c r="B4">
        <f t="shared" ref="B4:B14" si="0">AVERAGE(C4:E4)</f>
        <v>0.13500000000000001</v>
      </c>
      <c r="C4" s="3">
        <v>0.13700000000000001</v>
      </c>
      <c r="D4" s="3">
        <v>0.151</v>
      </c>
      <c r="E4" s="3">
        <v>0.11700000000000001</v>
      </c>
      <c r="N4">
        <v>45</v>
      </c>
      <c r="O4">
        <f t="shared" ref="O4:O14" si="1">AVERAGE(P4:R4)</f>
        <v>0.21833333333333335</v>
      </c>
      <c r="P4">
        <v>0.19900000000000001</v>
      </c>
      <c r="Q4">
        <v>0.27800000000000002</v>
      </c>
      <c r="R4">
        <v>0.17799999999999999</v>
      </c>
    </row>
    <row r="5" spans="1:25" x14ac:dyDescent="0.35">
      <c r="A5">
        <v>30</v>
      </c>
      <c r="B5">
        <f>AVERAGE(D5:E5)</f>
        <v>9.2999999999999999E-2</v>
      </c>
      <c r="C5" s="19">
        <v>0.161</v>
      </c>
      <c r="D5" s="3">
        <v>9.4E-2</v>
      </c>
      <c r="E5" s="3">
        <v>9.1999999999999998E-2</v>
      </c>
      <c r="N5">
        <v>30</v>
      </c>
      <c r="O5">
        <f t="shared" si="1"/>
        <v>0.17666666666666667</v>
      </c>
      <c r="P5">
        <v>0.223</v>
      </c>
      <c r="Q5">
        <v>0.14299999999999999</v>
      </c>
      <c r="R5">
        <v>0.16400000000000001</v>
      </c>
    </row>
    <row r="6" spans="1:25" x14ac:dyDescent="0.35">
      <c r="A6">
        <v>18</v>
      </c>
      <c r="B6">
        <f t="shared" si="0"/>
        <v>7.3666666666666658E-2</v>
      </c>
      <c r="C6" s="3">
        <v>7.3999999999999996E-2</v>
      </c>
      <c r="D6" s="3">
        <v>7.4999999999999997E-2</v>
      </c>
      <c r="E6" s="3">
        <v>7.1999999999999995E-2</v>
      </c>
      <c r="N6">
        <v>18</v>
      </c>
      <c r="O6">
        <f t="shared" si="1"/>
        <v>0.11033333333333332</v>
      </c>
      <c r="P6">
        <v>0.106</v>
      </c>
      <c r="Q6">
        <v>0.12</v>
      </c>
      <c r="R6">
        <v>0.105</v>
      </c>
    </row>
    <row r="7" spans="1:25" x14ac:dyDescent="0.35">
      <c r="A7">
        <v>9</v>
      </c>
      <c r="B7">
        <f t="shared" si="0"/>
        <v>5.566666666666667E-2</v>
      </c>
      <c r="C7" s="3">
        <v>5.5E-2</v>
      </c>
      <c r="D7" s="3">
        <v>5.8000000000000003E-2</v>
      </c>
      <c r="E7" s="3">
        <v>5.3999999999999999E-2</v>
      </c>
      <c r="N7">
        <v>9</v>
      </c>
      <c r="O7">
        <f t="shared" si="1"/>
        <v>7.5333333333333322E-2</v>
      </c>
      <c r="P7">
        <v>7.0999999999999994E-2</v>
      </c>
      <c r="Q7">
        <v>8.3000000000000004E-2</v>
      </c>
      <c r="R7">
        <v>7.1999999999999995E-2</v>
      </c>
    </row>
    <row r="8" spans="1:25" x14ac:dyDescent="0.35">
      <c r="A8">
        <v>6</v>
      </c>
      <c r="B8">
        <f t="shared" si="0"/>
        <v>4.8666666666666671E-2</v>
      </c>
      <c r="C8" s="3">
        <v>0.05</v>
      </c>
      <c r="D8" s="3">
        <v>4.9000000000000002E-2</v>
      </c>
      <c r="E8" s="3">
        <v>4.7E-2</v>
      </c>
      <c r="N8">
        <v>6</v>
      </c>
      <c r="O8">
        <f t="shared" si="1"/>
        <v>6.3333333333333339E-2</v>
      </c>
      <c r="P8">
        <v>6.7000000000000004E-2</v>
      </c>
      <c r="Q8">
        <v>6.0999999999999999E-2</v>
      </c>
      <c r="R8">
        <v>6.2E-2</v>
      </c>
    </row>
    <row r="9" spans="1:25" x14ac:dyDescent="0.35">
      <c r="A9">
        <v>3</v>
      </c>
      <c r="B9">
        <f>AVERAGE(C9:D9)</f>
        <v>4.2999999999999997E-2</v>
      </c>
      <c r="C9" s="3">
        <v>4.2999999999999997E-2</v>
      </c>
      <c r="D9" s="3">
        <v>4.2999999999999997E-2</v>
      </c>
      <c r="E9" s="19">
        <v>5.6000000000000001E-2</v>
      </c>
      <c r="N9">
        <v>3</v>
      </c>
      <c r="O9">
        <f t="shared" si="1"/>
        <v>5.1999999999999998E-2</v>
      </c>
      <c r="P9">
        <v>0.05</v>
      </c>
      <c r="Q9">
        <v>5.0999999999999997E-2</v>
      </c>
      <c r="R9">
        <v>5.5E-2</v>
      </c>
    </row>
    <row r="10" spans="1:25" x14ac:dyDescent="0.35">
      <c r="A10">
        <v>0.6</v>
      </c>
      <c r="B10">
        <f t="shared" si="0"/>
        <v>3.9E-2</v>
      </c>
      <c r="C10" s="3">
        <v>3.7999999999999999E-2</v>
      </c>
      <c r="D10" s="3">
        <v>4.1000000000000002E-2</v>
      </c>
      <c r="E10" s="3">
        <v>3.7999999999999999E-2</v>
      </c>
      <c r="N10">
        <v>0.6</v>
      </c>
      <c r="O10">
        <f t="shared" si="1"/>
        <v>0.04</v>
      </c>
      <c r="P10">
        <v>0.04</v>
      </c>
      <c r="Q10">
        <v>0.04</v>
      </c>
      <c r="R10">
        <v>0.04</v>
      </c>
    </row>
    <row r="11" spans="1:25" x14ac:dyDescent="0.35">
      <c r="A11">
        <v>100</v>
      </c>
      <c r="B11">
        <f>AVERAGE(C11:D11)</f>
        <v>0.26750000000000002</v>
      </c>
      <c r="C11" s="3">
        <v>0.25900000000000001</v>
      </c>
      <c r="D11" s="3">
        <v>0.27600000000000002</v>
      </c>
      <c r="E11" s="19">
        <v>0.20499999999999999</v>
      </c>
      <c r="N11">
        <v>100</v>
      </c>
      <c r="O11">
        <f t="shared" si="1"/>
        <v>0.41199999999999998</v>
      </c>
      <c r="P11">
        <v>0.45600000000000002</v>
      </c>
      <c r="Q11">
        <v>0.44600000000000001</v>
      </c>
      <c r="R11">
        <v>0.33400000000000002</v>
      </c>
    </row>
    <row r="12" spans="1:25" x14ac:dyDescent="0.35">
      <c r="A12">
        <v>250</v>
      </c>
      <c r="B12">
        <f>AVERAGE(C12:D12)</f>
        <v>0.51950000000000007</v>
      </c>
      <c r="C12" s="3">
        <v>0.50900000000000001</v>
      </c>
      <c r="D12" s="3">
        <v>0.53</v>
      </c>
      <c r="E12" s="19">
        <v>0.441</v>
      </c>
      <c r="N12">
        <v>250</v>
      </c>
      <c r="O12">
        <f>AVERAGE(P12,R12)</f>
        <v>0.70299999999999996</v>
      </c>
      <c r="P12" s="20">
        <v>0.70499999999999996</v>
      </c>
      <c r="Q12" s="12">
        <v>0.63300000000000001</v>
      </c>
      <c r="R12">
        <v>0.70099999999999996</v>
      </c>
    </row>
    <row r="13" spans="1:25" x14ac:dyDescent="0.35">
      <c r="A13">
        <v>500</v>
      </c>
      <c r="B13">
        <f>AVERAGE(C13,E13)</f>
        <v>0.79899999999999993</v>
      </c>
      <c r="C13" s="3">
        <v>0.82099999999999995</v>
      </c>
      <c r="D13" s="19">
        <v>0.60599999999999998</v>
      </c>
      <c r="E13" s="3">
        <v>0.77700000000000002</v>
      </c>
      <c r="N13">
        <v>500</v>
      </c>
      <c r="O13">
        <f>AVERAGE(Q13:R13)</f>
        <v>0.94100000000000006</v>
      </c>
      <c r="P13" s="12">
        <v>0.84199999999999997</v>
      </c>
      <c r="Q13">
        <v>0.98399999999999999</v>
      </c>
      <c r="R13">
        <v>0.89800000000000002</v>
      </c>
    </row>
    <row r="14" spans="1:25" x14ac:dyDescent="0.35">
      <c r="A14">
        <v>0</v>
      </c>
      <c r="B14">
        <f t="shared" si="0"/>
        <v>3.7999999999999999E-2</v>
      </c>
      <c r="C14" s="3">
        <v>3.7999999999999999E-2</v>
      </c>
      <c r="D14" s="3">
        <v>3.7999999999999999E-2</v>
      </c>
      <c r="E14" s="3">
        <v>3.7999999999999999E-2</v>
      </c>
      <c r="N14">
        <v>0</v>
      </c>
      <c r="O14">
        <f t="shared" si="1"/>
        <v>3.833333333333333E-2</v>
      </c>
      <c r="P14">
        <v>3.9E-2</v>
      </c>
      <c r="Q14">
        <v>3.7999999999999999E-2</v>
      </c>
      <c r="R14">
        <v>3.7999999999999999E-2</v>
      </c>
    </row>
    <row r="17" spans="1:18" x14ac:dyDescent="0.35">
      <c r="A17" s="13" t="s">
        <v>16</v>
      </c>
      <c r="B17" s="13" t="s">
        <v>14</v>
      </c>
      <c r="C17" s="13" t="s">
        <v>0</v>
      </c>
      <c r="D17" s="13" t="s">
        <v>9</v>
      </c>
      <c r="E17" s="13" t="s">
        <v>15</v>
      </c>
      <c r="N17" s="13" t="s">
        <v>16</v>
      </c>
      <c r="O17" s="13" t="s">
        <v>14</v>
      </c>
      <c r="P17" s="13" t="s">
        <v>0</v>
      </c>
      <c r="Q17" s="13" t="s">
        <v>9</v>
      </c>
      <c r="R17" s="13" t="s">
        <v>15</v>
      </c>
    </row>
    <row r="18" spans="1:18" x14ac:dyDescent="0.35">
      <c r="A18">
        <v>60</v>
      </c>
      <c r="B18">
        <f>AVERAGE(C18:E18)</f>
        <v>3.8666666666666662E-2</v>
      </c>
      <c r="C18">
        <v>3.9E-2</v>
      </c>
      <c r="D18">
        <v>3.7999999999999999E-2</v>
      </c>
      <c r="E18">
        <v>3.9E-2</v>
      </c>
      <c r="N18">
        <v>60</v>
      </c>
      <c r="O18">
        <f>AVERAGE(P18:R18)</f>
        <v>0.16500000000000001</v>
      </c>
      <c r="P18">
        <v>0.16900000000000001</v>
      </c>
      <c r="Q18">
        <v>0.16800000000000001</v>
      </c>
      <c r="R18">
        <v>0.158</v>
      </c>
    </row>
    <row r="19" spans="1:18" x14ac:dyDescent="0.35">
      <c r="A19">
        <v>45</v>
      </c>
      <c r="B19">
        <f t="shared" ref="B19:B29" si="2">AVERAGE(C19:E19)</f>
        <v>3.9E-2</v>
      </c>
      <c r="C19">
        <v>3.9E-2</v>
      </c>
      <c r="D19">
        <v>0.04</v>
      </c>
      <c r="E19">
        <v>3.7999999999999999E-2</v>
      </c>
      <c r="N19">
        <v>45</v>
      </c>
      <c r="O19">
        <f t="shared" ref="O19:O29" si="3">AVERAGE(P19:R19)</f>
        <v>0.13266666666666668</v>
      </c>
      <c r="P19">
        <v>0.13600000000000001</v>
      </c>
      <c r="Q19">
        <v>0.14699999999999999</v>
      </c>
      <c r="R19">
        <v>0.115</v>
      </c>
    </row>
    <row r="20" spans="1:18" x14ac:dyDescent="0.35">
      <c r="A20">
        <v>30</v>
      </c>
      <c r="B20">
        <f t="shared" si="2"/>
        <v>3.7666666666666661E-2</v>
      </c>
      <c r="C20">
        <v>3.7999999999999999E-2</v>
      </c>
      <c r="D20">
        <v>3.7999999999999999E-2</v>
      </c>
      <c r="E20">
        <v>3.6999999999999998E-2</v>
      </c>
      <c r="N20">
        <v>30</v>
      </c>
      <c r="O20">
        <f t="shared" si="3"/>
        <v>0.106</v>
      </c>
      <c r="P20">
        <v>0.11</v>
      </c>
      <c r="Q20">
        <v>9.2999999999999999E-2</v>
      </c>
      <c r="R20">
        <v>0.115</v>
      </c>
    </row>
    <row r="21" spans="1:18" x14ac:dyDescent="0.35">
      <c r="A21">
        <v>18</v>
      </c>
      <c r="B21">
        <f t="shared" si="2"/>
        <v>3.7666666666666661E-2</v>
      </c>
      <c r="C21">
        <v>3.6999999999999998E-2</v>
      </c>
      <c r="D21">
        <v>3.7999999999999999E-2</v>
      </c>
      <c r="E21">
        <v>3.7999999999999999E-2</v>
      </c>
      <c r="N21">
        <v>18</v>
      </c>
      <c r="O21">
        <f t="shared" si="3"/>
        <v>7.8333333333333324E-2</v>
      </c>
      <c r="P21">
        <v>7.1999999999999995E-2</v>
      </c>
      <c r="Q21">
        <v>8.4000000000000005E-2</v>
      </c>
      <c r="R21">
        <v>7.9000000000000001E-2</v>
      </c>
    </row>
    <row r="22" spans="1:18" x14ac:dyDescent="0.35">
      <c r="A22">
        <v>9</v>
      </c>
      <c r="B22">
        <f t="shared" si="2"/>
        <v>3.7666666666666661E-2</v>
      </c>
      <c r="C22">
        <v>3.7999999999999999E-2</v>
      </c>
      <c r="D22">
        <v>3.7999999999999999E-2</v>
      </c>
      <c r="E22">
        <v>3.6999999999999998E-2</v>
      </c>
      <c r="N22">
        <v>9</v>
      </c>
      <c r="O22">
        <f t="shared" si="3"/>
        <v>5.9333333333333328E-2</v>
      </c>
      <c r="P22">
        <v>6.3E-2</v>
      </c>
      <c r="Q22">
        <v>6.0999999999999999E-2</v>
      </c>
      <c r="R22">
        <v>5.3999999999999999E-2</v>
      </c>
    </row>
    <row r="23" spans="1:18" x14ac:dyDescent="0.35">
      <c r="A23">
        <v>6</v>
      </c>
      <c r="B23">
        <f t="shared" si="2"/>
        <v>3.7333333333333329E-2</v>
      </c>
      <c r="C23">
        <v>3.6999999999999998E-2</v>
      </c>
      <c r="D23">
        <v>3.6999999999999998E-2</v>
      </c>
      <c r="E23">
        <v>3.7999999999999999E-2</v>
      </c>
      <c r="N23">
        <v>6</v>
      </c>
      <c r="O23">
        <f t="shared" si="3"/>
        <v>5.7999999999999996E-2</v>
      </c>
      <c r="P23">
        <v>5.8000000000000003E-2</v>
      </c>
      <c r="Q23">
        <v>5.8999999999999997E-2</v>
      </c>
      <c r="R23">
        <v>5.7000000000000002E-2</v>
      </c>
    </row>
    <row r="24" spans="1:18" x14ac:dyDescent="0.35">
      <c r="A24">
        <v>3</v>
      </c>
      <c r="B24">
        <f t="shared" si="2"/>
        <v>3.833333333333333E-2</v>
      </c>
      <c r="C24">
        <v>4.1000000000000002E-2</v>
      </c>
      <c r="D24">
        <v>3.6999999999999998E-2</v>
      </c>
      <c r="E24">
        <v>3.6999999999999998E-2</v>
      </c>
      <c r="N24">
        <v>3</v>
      </c>
      <c r="O24">
        <f t="shared" si="3"/>
        <v>4.5333333333333337E-2</v>
      </c>
      <c r="P24">
        <v>4.8000000000000001E-2</v>
      </c>
      <c r="Q24">
        <v>4.4999999999999998E-2</v>
      </c>
      <c r="R24">
        <v>4.2999999999999997E-2</v>
      </c>
    </row>
    <row r="25" spans="1:18" x14ac:dyDescent="0.35">
      <c r="A25">
        <v>0.6</v>
      </c>
      <c r="B25">
        <f t="shared" si="2"/>
        <v>3.7999999999999999E-2</v>
      </c>
      <c r="C25">
        <v>3.7999999999999999E-2</v>
      </c>
      <c r="D25">
        <v>3.7999999999999999E-2</v>
      </c>
      <c r="E25">
        <v>3.7999999999999999E-2</v>
      </c>
      <c r="N25">
        <v>0.6</v>
      </c>
      <c r="O25">
        <f t="shared" si="3"/>
        <v>3.9666666666666663E-2</v>
      </c>
      <c r="P25">
        <v>3.9E-2</v>
      </c>
      <c r="Q25">
        <v>0.04</v>
      </c>
      <c r="R25">
        <v>0.04</v>
      </c>
    </row>
    <row r="26" spans="1:18" x14ac:dyDescent="0.35">
      <c r="A26">
        <v>100</v>
      </c>
      <c r="B26">
        <f t="shared" si="2"/>
        <v>3.9E-2</v>
      </c>
      <c r="C26">
        <v>3.9E-2</v>
      </c>
      <c r="D26">
        <v>3.9E-2</v>
      </c>
      <c r="E26">
        <v>3.9E-2</v>
      </c>
      <c r="N26">
        <v>100</v>
      </c>
      <c r="O26">
        <f t="shared" si="3"/>
        <v>0.24233333333333337</v>
      </c>
      <c r="P26">
        <v>0.25</v>
      </c>
      <c r="Q26">
        <v>0.19900000000000001</v>
      </c>
      <c r="R26">
        <v>0.27800000000000002</v>
      </c>
    </row>
    <row r="27" spans="1:18" x14ac:dyDescent="0.35">
      <c r="A27">
        <v>250</v>
      </c>
      <c r="B27">
        <f t="shared" si="2"/>
        <v>4.1000000000000002E-2</v>
      </c>
      <c r="C27">
        <v>4.1000000000000002E-2</v>
      </c>
      <c r="D27">
        <v>4.2000000000000003E-2</v>
      </c>
      <c r="E27">
        <v>0.04</v>
      </c>
      <c r="N27">
        <v>250</v>
      </c>
      <c r="O27">
        <f t="shared" si="3"/>
        <v>0.30499999999999999</v>
      </c>
      <c r="P27">
        <v>0.22900000000000001</v>
      </c>
      <c r="Q27">
        <v>0.32900000000000001</v>
      </c>
      <c r="R27">
        <v>0.35699999999999998</v>
      </c>
    </row>
    <row r="28" spans="1:18" x14ac:dyDescent="0.35">
      <c r="A28">
        <v>500</v>
      </c>
      <c r="B28">
        <f t="shared" si="2"/>
        <v>4.2333333333333334E-2</v>
      </c>
      <c r="C28">
        <v>4.2000000000000003E-2</v>
      </c>
      <c r="D28">
        <v>4.2000000000000003E-2</v>
      </c>
      <c r="E28">
        <v>4.2999999999999997E-2</v>
      </c>
      <c r="N28">
        <v>500</v>
      </c>
      <c r="O28">
        <f>AVERAGE(P28:R28)</f>
        <v>0.29233333333333333</v>
      </c>
      <c r="P28">
        <v>0.27700000000000002</v>
      </c>
      <c r="Q28">
        <v>0.35599999999999998</v>
      </c>
      <c r="R28">
        <v>0.24399999999999999</v>
      </c>
    </row>
    <row r="29" spans="1:18" x14ac:dyDescent="0.35">
      <c r="A29">
        <v>0</v>
      </c>
      <c r="B29">
        <f t="shared" si="2"/>
        <v>3.7999999999999999E-2</v>
      </c>
      <c r="C29">
        <v>3.7999999999999999E-2</v>
      </c>
      <c r="D29">
        <v>3.7999999999999999E-2</v>
      </c>
      <c r="E29">
        <v>3.7999999999999999E-2</v>
      </c>
      <c r="N29">
        <v>0</v>
      </c>
      <c r="O29">
        <f t="shared" si="3"/>
        <v>3.833333333333333E-2</v>
      </c>
      <c r="P29">
        <v>3.7999999999999999E-2</v>
      </c>
      <c r="Q29">
        <v>3.9E-2</v>
      </c>
      <c r="R29">
        <v>3.7999999999999999E-2</v>
      </c>
    </row>
    <row r="33" spans="15:18" x14ac:dyDescent="0.35">
      <c r="O33" s="15" t="s">
        <v>19</v>
      </c>
      <c r="P33" s="16" t="s">
        <v>20</v>
      </c>
      <c r="Q33" s="16"/>
      <c r="R33" s="16" t="s">
        <v>21</v>
      </c>
    </row>
    <row r="34" spans="15:18" x14ac:dyDescent="0.35">
      <c r="P34" t="s">
        <v>22</v>
      </c>
      <c r="Q34" t="s">
        <v>23</v>
      </c>
      <c r="R34" t="s">
        <v>24</v>
      </c>
    </row>
    <row r="35" spans="15:18" x14ac:dyDescent="0.35">
      <c r="P35" s="17">
        <f>((P18/0.8)/C3)*100</f>
        <v>130.40123456790121</v>
      </c>
      <c r="Q35" s="17">
        <f>((Q18/0.8)/D3)*100</f>
        <v>120.68965517241379</v>
      </c>
      <c r="R35" s="17">
        <f t="shared" ref="R35" si="4">((R18/0.8)/E3)*100</f>
        <v>123.43749999999997</v>
      </c>
    </row>
  </sheetData>
  <mergeCells count="2">
    <mergeCell ref="A1:L1"/>
    <mergeCell ref="N1:Y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A07F-80C5-43B6-80F1-6CB8F8BD6C96}">
  <sheetPr codeName="Sheet3"/>
  <dimension ref="A3:N111"/>
  <sheetViews>
    <sheetView workbookViewId="0">
      <selection activeCell="G4" sqref="G4"/>
    </sheetView>
  </sheetViews>
  <sheetFormatPr defaultRowHeight="14.5" x14ac:dyDescent="0.35"/>
  <sheetData>
    <row r="3" spans="1:14" x14ac:dyDescent="0.35">
      <c r="A3" s="1" t="s">
        <v>38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35">
      <c r="A4" s="2" t="s">
        <v>1</v>
      </c>
      <c r="B4" s="3">
        <v>0.16200000000000001</v>
      </c>
      <c r="C4" s="3">
        <v>0.17399999999999999</v>
      </c>
      <c r="D4" s="3">
        <v>0.16</v>
      </c>
      <c r="E4" s="3">
        <v>0.25900000000000001</v>
      </c>
      <c r="F4" s="3">
        <v>0.27600000000000002</v>
      </c>
      <c r="G4" s="3">
        <v>0.20499999999999999</v>
      </c>
      <c r="H4" s="3">
        <v>3.9E-2</v>
      </c>
      <c r="I4" s="3">
        <v>3.7999999999999999E-2</v>
      </c>
      <c r="J4" s="3">
        <v>3.9E-2</v>
      </c>
      <c r="K4" s="3">
        <v>3.9E-2</v>
      </c>
      <c r="L4" s="3">
        <v>3.9E-2</v>
      </c>
      <c r="M4" s="3">
        <v>3.9E-2</v>
      </c>
      <c r="N4" s="18">
        <v>562</v>
      </c>
    </row>
    <row r="5" spans="1:14" x14ac:dyDescent="0.35">
      <c r="A5" s="2" t="s">
        <v>2</v>
      </c>
      <c r="B5" s="3">
        <v>0.13700000000000001</v>
      </c>
      <c r="C5" s="3">
        <v>0.151</v>
      </c>
      <c r="D5" s="3">
        <v>0.11700000000000001</v>
      </c>
      <c r="E5" s="3">
        <v>0.50900000000000001</v>
      </c>
      <c r="F5" s="3">
        <v>0.53</v>
      </c>
      <c r="G5" s="3">
        <v>0.441</v>
      </c>
      <c r="H5" s="3">
        <v>3.9E-2</v>
      </c>
      <c r="I5" s="3">
        <v>0.04</v>
      </c>
      <c r="J5" s="3">
        <v>3.7999999999999999E-2</v>
      </c>
      <c r="K5" s="3">
        <v>4.1000000000000002E-2</v>
      </c>
      <c r="L5" s="3">
        <v>4.2000000000000003E-2</v>
      </c>
      <c r="M5" s="3">
        <v>0.04</v>
      </c>
      <c r="N5" s="18">
        <v>562</v>
      </c>
    </row>
    <row r="6" spans="1:14" x14ac:dyDescent="0.35">
      <c r="A6" s="2" t="s">
        <v>3</v>
      </c>
      <c r="B6" s="3">
        <v>0.161</v>
      </c>
      <c r="C6" s="3">
        <v>9.4E-2</v>
      </c>
      <c r="D6" s="3">
        <v>9.1999999999999998E-2</v>
      </c>
      <c r="E6" s="3">
        <v>0.82099999999999995</v>
      </c>
      <c r="F6" s="3">
        <v>0.60599999999999998</v>
      </c>
      <c r="G6" s="3">
        <v>0.77700000000000002</v>
      </c>
      <c r="H6" s="3">
        <v>3.7999999999999999E-2</v>
      </c>
      <c r="I6" s="3">
        <v>3.7999999999999999E-2</v>
      </c>
      <c r="J6" s="3">
        <v>3.6999999999999998E-2</v>
      </c>
      <c r="K6" s="3">
        <v>4.2000000000000003E-2</v>
      </c>
      <c r="L6" s="3">
        <v>4.2000000000000003E-2</v>
      </c>
      <c r="M6" s="3">
        <v>4.2999999999999997E-2</v>
      </c>
      <c r="N6" s="18">
        <v>562</v>
      </c>
    </row>
    <row r="7" spans="1:14" x14ac:dyDescent="0.35">
      <c r="A7" s="2" t="s">
        <v>4</v>
      </c>
      <c r="B7" s="3">
        <v>7.3999999999999996E-2</v>
      </c>
      <c r="C7" s="3">
        <v>7.4999999999999997E-2</v>
      </c>
      <c r="D7" s="3">
        <v>7.1999999999999995E-2</v>
      </c>
      <c r="E7" s="3">
        <v>4.7E-2</v>
      </c>
      <c r="F7" s="3">
        <v>4.7E-2</v>
      </c>
      <c r="G7" s="3">
        <v>4.8000000000000001E-2</v>
      </c>
      <c r="H7" s="3">
        <v>3.6999999999999998E-2</v>
      </c>
      <c r="I7" s="3">
        <v>3.7999999999999999E-2</v>
      </c>
      <c r="J7" s="3">
        <v>3.7999999999999999E-2</v>
      </c>
      <c r="K7" s="3">
        <v>4.7E-2</v>
      </c>
      <c r="L7" s="3">
        <v>4.8000000000000001E-2</v>
      </c>
      <c r="M7" s="3">
        <v>4.7E-2</v>
      </c>
      <c r="N7" s="18">
        <v>562</v>
      </c>
    </row>
    <row r="8" spans="1:14" x14ac:dyDescent="0.35">
      <c r="A8" s="2" t="s">
        <v>5</v>
      </c>
      <c r="B8" s="3">
        <v>5.5E-2</v>
      </c>
      <c r="C8" s="3">
        <v>5.8000000000000003E-2</v>
      </c>
      <c r="D8" s="3">
        <v>5.3999999999999999E-2</v>
      </c>
      <c r="E8" s="3">
        <v>4.7E-2</v>
      </c>
      <c r="F8" s="3">
        <v>4.7E-2</v>
      </c>
      <c r="G8" s="3">
        <v>4.7E-2</v>
      </c>
      <c r="H8" s="3">
        <v>3.7999999999999999E-2</v>
      </c>
      <c r="I8" s="3">
        <v>3.7999999999999999E-2</v>
      </c>
      <c r="J8" s="3">
        <v>3.6999999999999998E-2</v>
      </c>
      <c r="K8" s="3">
        <v>4.7E-2</v>
      </c>
      <c r="L8" s="3">
        <v>4.8000000000000001E-2</v>
      </c>
      <c r="M8" s="3">
        <v>4.7E-2</v>
      </c>
      <c r="N8" s="18">
        <v>562</v>
      </c>
    </row>
    <row r="9" spans="1:14" x14ac:dyDescent="0.35">
      <c r="A9" s="2" t="s">
        <v>6</v>
      </c>
      <c r="B9" s="3">
        <v>0.05</v>
      </c>
      <c r="C9" s="3">
        <v>4.9000000000000002E-2</v>
      </c>
      <c r="D9" s="3">
        <v>4.7E-2</v>
      </c>
      <c r="E9" s="3">
        <v>4.7E-2</v>
      </c>
      <c r="F9" s="3">
        <v>4.7E-2</v>
      </c>
      <c r="G9" s="3">
        <v>4.7E-2</v>
      </c>
      <c r="H9" s="3">
        <v>3.6999999999999998E-2</v>
      </c>
      <c r="I9" s="3">
        <v>3.6999999999999998E-2</v>
      </c>
      <c r="J9" s="3">
        <v>3.7999999999999999E-2</v>
      </c>
      <c r="K9" s="3">
        <v>4.7E-2</v>
      </c>
      <c r="L9" s="3">
        <v>4.7E-2</v>
      </c>
      <c r="M9" s="3">
        <v>4.8000000000000001E-2</v>
      </c>
      <c r="N9" s="18">
        <v>562</v>
      </c>
    </row>
    <row r="10" spans="1:14" x14ac:dyDescent="0.35">
      <c r="A10" s="2" t="s">
        <v>7</v>
      </c>
      <c r="B10" s="3">
        <v>4.2999999999999997E-2</v>
      </c>
      <c r="C10" s="3">
        <v>4.2999999999999997E-2</v>
      </c>
      <c r="D10" s="3">
        <v>5.6000000000000001E-2</v>
      </c>
      <c r="E10" s="3">
        <v>3.7999999999999999E-2</v>
      </c>
      <c r="F10" s="3">
        <v>4.1000000000000002E-2</v>
      </c>
      <c r="G10" s="3">
        <v>3.7999999999999999E-2</v>
      </c>
      <c r="H10" s="3">
        <v>4.1000000000000002E-2</v>
      </c>
      <c r="I10" s="3">
        <v>3.6999999999999998E-2</v>
      </c>
      <c r="J10" s="3">
        <v>3.6999999999999998E-2</v>
      </c>
      <c r="K10" s="3">
        <v>4.7E-2</v>
      </c>
      <c r="L10" s="3">
        <v>4.7E-2</v>
      </c>
      <c r="M10" s="3">
        <v>4.7E-2</v>
      </c>
      <c r="N10" s="18">
        <v>562</v>
      </c>
    </row>
    <row r="11" spans="1:14" x14ac:dyDescent="0.35">
      <c r="A11" s="2" t="s">
        <v>8</v>
      </c>
      <c r="B11" s="3">
        <v>3.6999999999999998E-2</v>
      </c>
      <c r="C11" s="3">
        <v>3.6999999999999998E-2</v>
      </c>
      <c r="D11" s="3">
        <v>3.9E-2</v>
      </c>
      <c r="E11" s="3">
        <v>3.7999999999999999E-2</v>
      </c>
      <c r="F11" s="3">
        <v>3.7999999999999999E-2</v>
      </c>
      <c r="G11" s="3">
        <v>3.7999999999999999E-2</v>
      </c>
      <c r="H11" s="3">
        <v>3.7999999999999999E-2</v>
      </c>
      <c r="I11" s="3">
        <v>3.7999999999999999E-2</v>
      </c>
      <c r="J11" s="3">
        <v>3.7999999999999999E-2</v>
      </c>
      <c r="K11" s="3">
        <v>3.7999999999999999E-2</v>
      </c>
      <c r="L11" s="3">
        <v>3.7999999999999999E-2</v>
      </c>
      <c r="M11" s="3">
        <v>3.7999999999999999E-2</v>
      </c>
      <c r="N11" s="18">
        <v>562</v>
      </c>
    </row>
    <row r="13" spans="1:14" x14ac:dyDescent="0.35">
      <c r="A13" s="1" t="s">
        <v>39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4" x14ac:dyDescent="0.35">
      <c r="A14" s="2" t="s">
        <v>1</v>
      </c>
      <c r="B14" s="3">
        <v>0.27900000000000003</v>
      </c>
      <c r="C14" s="3">
        <v>0.29399999999999998</v>
      </c>
      <c r="D14" s="3">
        <v>0.29299999999999998</v>
      </c>
      <c r="E14" s="3">
        <v>0.45600000000000002</v>
      </c>
      <c r="F14" s="3">
        <v>0.44600000000000001</v>
      </c>
      <c r="G14" s="3">
        <v>0.33400000000000002</v>
      </c>
      <c r="H14" s="3">
        <v>0.16900000000000001</v>
      </c>
      <c r="I14" s="3">
        <v>0.16800000000000001</v>
      </c>
      <c r="J14" s="3">
        <v>0.158</v>
      </c>
      <c r="K14" s="3">
        <v>0.25</v>
      </c>
      <c r="L14" s="3">
        <v>0.19900000000000001</v>
      </c>
      <c r="M14" s="3">
        <v>0.27800000000000002</v>
      </c>
      <c r="N14" s="18">
        <v>562</v>
      </c>
    </row>
    <row r="15" spans="1:14" x14ac:dyDescent="0.35">
      <c r="A15" s="2" t="s">
        <v>2</v>
      </c>
      <c r="B15" s="3">
        <v>0.19900000000000001</v>
      </c>
      <c r="C15" s="3">
        <v>0.27800000000000002</v>
      </c>
      <c r="D15" s="3">
        <v>0.17799999999999999</v>
      </c>
      <c r="E15" s="3">
        <v>0.70499999999999996</v>
      </c>
      <c r="F15" s="3">
        <v>0.63300000000000001</v>
      </c>
      <c r="G15" s="3">
        <v>0.70099999999999996</v>
      </c>
      <c r="H15" s="3">
        <v>0.13600000000000001</v>
      </c>
      <c r="I15" s="3">
        <v>0.14699999999999999</v>
      </c>
      <c r="J15" s="3">
        <v>0.115</v>
      </c>
      <c r="K15" s="3">
        <v>0.22900000000000001</v>
      </c>
      <c r="L15" s="3">
        <v>0.32900000000000001</v>
      </c>
      <c r="M15" s="3">
        <v>0.35699999999999998</v>
      </c>
      <c r="N15" s="18">
        <v>562</v>
      </c>
    </row>
    <row r="16" spans="1:14" x14ac:dyDescent="0.35">
      <c r="A16" s="2" t="s">
        <v>3</v>
      </c>
      <c r="B16" s="3">
        <v>0.223</v>
      </c>
      <c r="C16" s="3">
        <v>0.14299999999999999</v>
      </c>
      <c r="D16" s="3">
        <v>0.16400000000000001</v>
      </c>
      <c r="E16" s="3">
        <v>0.84199999999999997</v>
      </c>
      <c r="F16" s="3">
        <v>0.98399999999999999</v>
      </c>
      <c r="G16" s="3">
        <v>0.89800000000000002</v>
      </c>
      <c r="H16" s="3">
        <v>0.11</v>
      </c>
      <c r="I16" s="3">
        <v>9.2999999999999999E-2</v>
      </c>
      <c r="J16" s="3">
        <v>0.115</v>
      </c>
      <c r="K16" s="3">
        <v>0.27700000000000002</v>
      </c>
      <c r="L16" s="3">
        <v>0.35599999999999998</v>
      </c>
      <c r="M16" s="3">
        <v>0.24399999999999999</v>
      </c>
      <c r="N16" s="18">
        <v>562</v>
      </c>
    </row>
    <row r="17" spans="1:14" x14ac:dyDescent="0.35">
      <c r="A17" s="2" t="s">
        <v>4</v>
      </c>
      <c r="B17" s="3">
        <v>0.106</v>
      </c>
      <c r="C17" s="3">
        <v>0.12</v>
      </c>
      <c r="D17" s="3">
        <v>0.105</v>
      </c>
      <c r="E17" s="3">
        <v>4.7E-2</v>
      </c>
      <c r="F17" s="3">
        <v>4.7E-2</v>
      </c>
      <c r="G17" s="3">
        <v>4.8000000000000001E-2</v>
      </c>
      <c r="H17" s="3">
        <v>7.1999999999999995E-2</v>
      </c>
      <c r="I17" s="3">
        <v>8.4000000000000005E-2</v>
      </c>
      <c r="J17" s="3">
        <v>7.9000000000000001E-2</v>
      </c>
      <c r="K17" s="3">
        <v>4.8000000000000001E-2</v>
      </c>
      <c r="L17" s="3">
        <v>4.8000000000000001E-2</v>
      </c>
      <c r="M17" s="3">
        <v>4.7E-2</v>
      </c>
      <c r="N17" s="18">
        <v>562</v>
      </c>
    </row>
    <row r="18" spans="1:14" x14ac:dyDescent="0.35">
      <c r="A18" s="2" t="s">
        <v>5</v>
      </c>
      <c r="B18" s="3">
        <v>7.0999999999999994E-2</v>
      </c>
      <c r="C18" s="3">
        <v>8.3000000000000004E-2</v>
      </c>
      <c r="D18" s="3">
        <v>7.1999999999999995E-2</v>
      </c>
      <c r="E18" s="3">
        <v>4.7E-2</v>
      </c>
      <c r="F18" s="3">
        <v>4.7E-2</v>
      </c>
      <c r="G18" s="3">
        <v>4.7E-2</v>
      </c>
      <c r="H18" s="3">
        <v>6.3E-2</v>
      </c>
      <c r="I18" s="3">
        <v>6.0999999999999999E-2</v>
      </c>
      <c r="J18" s="3">
        <v>5.3999999999999999E-2</v>
      </c>
      <c r="K18" s="3">
        <v>4.7E-2</v>
      </c>
      <c r="L18" s="3">
        <v>4.8000000000000001E-2</v>
      </c>
      <c r="M18" s="3">
        <v>4.7E-2</v>
      </c>
      <c r="N18" s="18">
        <v>562</v>
      </c>
    </row>
    <row r="19" spans="1:14" x14ac:dyDescent="0.35">
      <c r="A19" s="2" t="s">
        <v>6</v>
      </c>
      <c r="B19" s="3">
        <v>6.7000000000000004E-2</v>
      </c>
      <c r="C19" s="3">
        <v>6.0999999999999999E-2</v>
      </c>
      <c r="D19" s="3">
        <v>6.2E-2</v>
      </c>
      <c r="E19" s="3">
        <v>4.7E-2</v>
      </c>
      <c r="F19" s="3">
        <v>4.7E-2</v>
      </c>
      <c r="G19" s="3">
        <v>4.7E-2</v>
      </c>
      <c r="H19" s="3">
        <v>5.8000000000000003E-2</v>
      </c>
      <c r="I19" s="3">
        <v>5.8999999999999997E-2</v>
      </c>
      <c r="J19" s="3">
        <v>5.7000000000000002E-2</v>
      </c>
      <c r="K19" s="3">
        <v>4.7E-2</v>
      </c>
      <c r="L19" s="3">
        <v>4.7E-2</v>
      </c>
      <c r="M19" s="3">
        <v>4.8000000000000001E-2</v>
      </c>
      <c r="N19" s="18">
        <v>562</v>
      </c>
    </row>
    <row r="20" spans="1:14" x14ac:dyDescent="0.35">
      <c r="A20" s="2" t="s">
        <v>7</v>
      </c>
      <c r="B20" s="3">
        <v>0.05</v>
      </c>
      <c r="C20" s="3">
        <v>5.0999999999999997E-2</v>
      </c>
      <c r="D20" s="3">
        <v>5.5E-2</v>
      </c>
      <c r="E20" s="3">
        <v>0.04</v>
      </c>
      <c r="F20" s="3">
        <v>0.04</v>
      </c>
      <c r="G20" s="3">
        <v>0.04</v>
      </c>
      <c r="H20" s="3">
        <v>4.8000000000000001E-2</v>
      </c>
      <c r="I20" s="3">
        <v>4.4999999999999998E-2</v>
      </c>
      <c r="J20" s="3">
        <v>4.2999999999999997E-2</v>
      </c>
      <c r="K20" s="3">
        <v>4.7E-2</v>
      </c>
      <c r="L20" s="3">
        <v>4.7E-2</v>
      </c>
      <c r="M20" s="3">
        <v>4.7E-2</v>
      </c>
      <c r="N20" s="18">
        <v>562</v>
      </c>
    </row>
    <row r="21" spans="1:14" x14ac:dyDescent="0.35">
      <c r="A21" s="2" t="s">
        <v>8</v>
      </c>
      <c r="B21" s="3">
        <v>3.6999999999999998E-2</v>
      </c>
      <c r="C21" s="3">
        <v>3.6999999999999998E-2</v>
      </c>
      <c r="D21" s="3">
        <v>3.9E-2</v>
      </c>
      <c r="E21" s="3">
        <v>3.9E-2</v>
      </c>
      <c r="F21" s="3">
        <v>3.7999999999999999E-2</v>
      </c>
      <c r="G21" s="3">
        <v>3.7999999999999999E-2</v>
      </c>
      <c r="H21" s="3">
        <v>3.9E-2</v>
      </c>
      <c r="I21" s="3">
        <v>0.04</v>
      </c>
      <c r="J21" s="3">
        <v>0.04</v>
      </c>
      <c r="K21" s="3">
        <v>3.7999999999999999E-2</v>
      </c>
      <c r="L21" s="3">
        <v>3.9E-2</v>
      </c>
      <c r="M21" s="3">
        <v>3.7999999999999999E-2</v>
      </c>
      <c r="N21" s="18">
        <v>562</v>
      </c>
    </row>
    <row r="22" spans="1:14" x14ac:dyDescent="0.3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18"/>
    </row>
    <row r="23" spans="1:14" ht="56" x14ac:dyDescent="0.35">
      <c r="A23" s="21" t="s">
        <v>40</v>
      </c>
    </row>
    <row r="24" spans="1:14" x14ac:dyDescent="0.35">
      <c r="A24" s="1" t="s">
        <v>44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4" x14ac:dyDescent="0.35">
      <c r="A25" s="2" t="s">
        <v>1</v>
      </c>
      <c r="B25" s="3">
        <v>0.17199999999999999</v>
      </c>
      <c r="C25" s="3">
        <v>0.16800000000000001</v>
      </c>
      <c r="D25" s="3">
        <v>0.17299999999999999</v>
      </c>
      <c r="E25" s="3">
        <v>0.14199999999999999</v>
      </c>
      <c r="F25" s="3">
        <v>0.14699999999999999</v>
      </c>
      <c r="G25" s="3">
        <v>0.14099999999999999</v>
      </c>
      <c r="H25" s="3">
        <v>4.8000000000000001E-2</v>
      </c>
      <c r="I25" s="3">
        <v>5.2999999999999999E-2</v>
      </c>
      <c r="J25" s="3">
        <v>4.5999999999999999E-2</v>
      </c>
      <c r="K25" s="3">
        <v>4.5999999999999999E-2</v>
      </c>
      <c r="L25" s="3">
        <v>4.4999999999999998E-2</v>
      </c>
      <c r="M25" s="3">
        <v>4.4999999999999998E-2</v>
      </c>
      <c r="N25" s="18">
        <v>562</v>
      </c>
    </row>
    <row r="26" spans="1:14" x14ac:dyDescent="0.35">
      <c r="A26" s="2" t="s">
        <v>2</v>
      </c>
      <c r="B26" s="3">
        <v>8.1000000000000003E-2</v>
      </c>
      <c r="C26" s="3">
        <v>0.08</v>
      </c>
      <c r="D26" s="3">
        <v>7.4999999999999997E-2</v>
      </c>
      <c r="E26" s="3">
        <v>4.3999999999999997E-2</v>
      </c>
      <c r="F26" s="3">
        <v>4.3999999999999997E-2</v>
      </c>
      <c r="G26" s="3">
        <v>4.3999999999999997E-2</v>
      </c>
      <c r="H26" s="3">
        <v>5.6000000000000001E-2</v>
      </c>
      <c r="I26" s="3">
        <v>5.2999999999999999E-2</v>
      </c>
      <c r="J26" s="3">
        <v>5.5E-2</v>
      </c>
      <c r="K26" s="3">
        <v>5.1999999999999998E-2</v>
      </c>
      <c r="L26" s="3">
        <v>5.0999999999999997E-2</v>
      </c>
      <c r="M26" s="3">
        <v>5.0999999999999997E-2</v>
      </c>
      <c r="N26" s="18">
        <v>562</v>
      </c>
    </row>
    <row r="27" spans="1:14" x14ac:dyDescent="0.35">
      <c r="A27" s="2" t="s">
        <v>3</v>
      </c>
      <c r="B27" s="3">
        <v>4.2999999999999997E-2</v>
      </c>
      <c r="C27" s="3">
        <v>4.4999999999999998E-2</v>
      </c>
      <c r="D27" s="3">
        <v>4.2999999999999997E-2</v>
      </c>
      <c r="E27" s="3">
        <v>3.9E-2</v>
      </c>
      <c r="F27" s="3">
        <v>3.9E-2</v>
      </c>
      <c r="G27" s="3">
        <v>3.9E-2</v>
      </c>
      <c r="H27" s="3">
        <v>0.05</v>
      </c>
      <c r="I27" s="3">
        <v>4.8000000000000001E-2</v>
      </c>
      <c r="J27" s="3">
        <v>4.8000000000000001E-2</v>
      </c>
      <c r="K27" s="3">
        <v>4.4999999999999998E-2</v>
      </c>
      <c r="L27" s="3">
        <v>4.3999999999999997E-2</v>
      </c>
      <c r="M27" s="3">
        <v>4.4999999999999998E-2</v>
      </c>
      <c r="N27" s="18">
        <v>562</v>
      </c>
    </row>
    <row r="28" spans="1:14" x14ac:dyDescent="0.35">
      <c r="A28" s="2" t="s">
        <v>4</v>
      </c>
      <c r="B28" s="3">
        <v>3.6999999999999998E-2</v>
      </c>
      <c r="C28" s="3">
        <v>3.7999999999999999E-2</v>
      </c>
      <c r="D28" s="3">
        <v>3.7999999999999999E-2</v>
      </c>
      <c r="E28" s="3">
        <v>5.0999999999999997E-2</v>
      </c>
      <c r="F28" s="3">
        <v>0.05</v>
      </c>
      <c r="G28" s="3">
        <v>4.9000000000000002E-2</v>
      </c>
      <c r="H28" s="3">
        <v>4.1000000000000002E-2</v>
      </c>
      <c r="I28" s="3">
        <v>4.2000000000000003E-2</v>
      </c>
      <c r="J28" s="3">
        <v>4.2000000000000003E-2</v>
      </c>
      <c r="K28" s="3">
        <v>7.3999999999999996E-2</v>
      </c>
      <c r="L28" s="3">
        <v>7.2999999999999995E-2</v>
      </c>
      <c r="M28" s="3">
        <v>7.2999999999999995E-2</v>
      </c>
      <c r="N28" s="18">
        <v>562</v>
      </c>
    </row>
    <row r="29" spans="1:14" x14ac:dyDescent="0.35">
      <c r="A29" s="2" t="s">
        <v>5</v>
      </c>
      <c r="B29" s="3">
        <v>3.7999999999999999E-2</v>
      </c>
      <c r="C29" s="3">
        <v>3.6999999999999998E-2</v>
      </c>
      <c r="D29" s="3">
        <v>3.6999999999999998E-2</v>
      </c>
      <c r="E29" s="3">
        <v>3.7999999999999999E-2</v>
      </c>
      <c r="F29" s="3">
        <v>3.7999999999999999E-2</v>
      </c>
      <c r="G29" s="3">
        <v>3.7999999999999999E-2</v>
      </c>
      <c r="H29" s="3">
        <v>4.2000000000000003E-2</v>
      </c>
      <c r="I29" s="3">
        <v>4.2000000000000003E-2</v>
      </c>
      <c r="J29" s="3">
        <v>4.2000000000000003E-2</v>
      </c>
      <c r="K29" s="3">
        <v>4.7E-2</v>
      </c>
      <c r="L29" s="3">
        <v>4.7E-2</v>
      </c>
      <c r="M29" s="3">
        <v>4.8000000000000001E-2</v>
      </c>
      <c r="N29" s="18">
        <v>562</v>
      </c>
    </row>
    <row r="30" spans="1:14" x14ac:dyDescent="0.35">
      <c r="A30" s="2" t="s">
        <v>6</v>
      </c>
      <c r="B30" s="3">
        <v>3.9E-2</v>
      </c>
      <c r="C30" s="3">
        <v>3.7999999999999999E-2</v>
      </c>
      <c r="D30" s="3">
        <v>3.7999999999999999E-2</v>
      </c>
      <c r="E30" s="3">
        <v>6.6000000000000003E-2</v>
      </c>
      <c r="F30" s="3">
        <v>7.0999999999999994E-2</v>
      </c>
      <c r="G30" s="3">
        <v>6.9000000000000006E-2</v>
      </c>
      <c r="H30" s="3">
        <v>4.2000000000000003E-2</v>
      </c>
      <c r="I30" s="3">
        <v>4.2000000000000003E-2</v>
      </c>
      <c r="J30" s="3">
        <v>4.2999999999999997E-2</v>
      </c>
      <c r="K30" s="3">
        <v>4.7E-2</v>
      </c>
      <c r="L30" s="3">
        <v>4.7E-2</v>
      </c>
      <c r="M30" s="3">
        <v>4.7E-2</v>
      </c>
      <c r="N30" s="18">
        <v>562</v>
      </c>
    </row>
    <row r="31" spans="1:14" x14ac:dyDescent="0.35">
      <c r="A31" s="2" t="s">
        <v>7</v>
      </c>
      <c r="B31" s="3">
        <v>3.9E-2</v>
      </c>
      <c r="C31" s="3">
        <v>3.6999999999999998E-2</v>
      </c>
      <c r="D31" s="3">
        <v>3.7999999999999999E-2</v>
      </c>
      <c r="E31" s="3">
        <v>0.05</v>
      </c>
      <c r="F31" s="3">
        <v>4.3999999999999997E-2</v>
      </c>
      <c r="G31" s="3">
        <v>4.2999999999999997E-2</v>
      </c>
      <c r="H31" s="3">
        <v>0.04</v>
      </c>
      <c r="I31" s="3">
        <v>0.04</v>
      </c>
      <c r="J31" s="3">
        <v>3.9E-2</v>
      </c>
      <c r="K31" s="3">
        <v>4.7E-2</v>
      </c>
      <c r="L31" s="3">
        <v>4.7E-2</v>
      </c>
      <c r="M31" s="3">
        <v>4.7E-2</v>
      </c>
      <c r="N31" s="18">
        <v>562</v>
      </c>
    </row>
    <row r="32" spans="1:14" x14ac:dyDescent="0.35">
      <c r="A32" s="2" t="s">
        <v>8</v>
      </c>
      <c r="B32" s="3">
        <v>3.6999999999999998E-2</v>
      </c>
      <c r="C32" s="3">
        <v>3.7999999999999999E-2</v>
      </c>
      <c r="D32" s="3">
        <v>3.6999999999999998E-2</v>
      </c>
      <c r="E32" s="3">
        <v>5.1999999999999998E-2</v>
      </c>
      <c r="F32" s="3">
        <v>5.1999999999999998E-2</v>
      </c>
      <c r="G32" s="3">
        <v>5.0999999999999997E-2</v>
      </c>
      <c r="H32" s="3">
        <v>0.14699999999999999</v>
      </c>
      <c r="I32" s="3">
        <v>0.16400000000000001</v>
      </c>
      <c r="J32" s="3">
        <v>0.14299999999999999</v>
      </c>
      <c r="K32" s="3">
        <v>4.7E-2</v>
      </c>
      <c r="L32" s="3">
        <v>4.7E-2</v>
      </c>
      <c r="M32" s="3">
        <v>4.7E-2</v>
      </c>
      <c r="N32" s="18">
        <v>562</v>
      </c>
    </row>
    <row r="34" spans="1:14" x14ac:dyDescent="0.35">
      <c r="A34" s="1" t="s">
        <v>45</v>
      </c>
      <c r="B34" s="2">
        <v>1</v>
      </c>
      <c r="C34" s="2">
        <v>2</v>
      </c>
      <c r="D34" s="2">
        <v>3</v>
      </c>
      <c r="E34" s="2">
        <v>4</v>
      </c>
      <c r="F34" s="2">
        <v>5</v>
      </c>
      <c r="G34" s="2">
        <v>6</v>
      </c>
      <c r="H34" s="2">
        <v>7</v>
      </c>
      <c r="I34" s="2">
        <v>8</v>
      </c>
      <c r="J34" s="2">
        <v>9</v>
      </c>
      <c r="K34" s="2">
        <v>10</v>
      </c>
      <c r="L34" s="2">
        <v>11</v>
      </c>
      <c r="M34" s="2">
        <v>12</v>
      </c>
    </row>
    <row r="35" spans="1:14" x14ac:dyDescent="0.35">
      <c r="A35" s="2" t="s">
        <v>1</v>
      </c>
      <c r="B35" s="3">
        <v>0.308</v>
      </c>
      <c r="C35" s="3">
        <v>0.30399999999999999</v>
      </c>
      <c r="D35" s="3">
        <v>0.28699999999999998</v>
      </c>
      <c r="E35" s="3">
        <v>0.14799999999999999</v>
      </c>
      <c r="F35" s="3">
        <v>0.153</v>
      </c>
      <c r="G35" s="3">
        <v>0.153</v>
      </c>
      <c r="H35" s="3">
        <v>5.0999999999999997E-2</v>
      </c>
      <c r="I35" s="3">
        <v>7.9000000000000001E-2</v>
      </c>
      <c r="J35" s="3">
        <v>5.0999999999999997E-2</v>
      </c>
      <c r="K35" s="3">
        <v>4.7E-2</v>
      </c>
      <c r="L35" s="3">
        <v>4.5999999999999999E-2</v>
      </c>
      <c r="M35" s="3">
        <v>4.7E-2</v>
      </c>
      <c r="N35" s="18">
        <v>562</v>
      </c>
    </row>
    <row r="36" spans="1:14" x14ac:dyDescent="0.35">
      <c r="A36" s="2" t="s">
        <v>2</v>
      </c>
      <c r="B36" s="3">
        <v>0.13400000000000001</v>
      </c>
      <c r="C36" s="3">
        <v>0.126</v>
      </c>
      <c r="D36" s="3">
        <v>0.10199999999999999</v>
      </c>
      <c r="E36" s="3">
        <v>4.5999999999999999E-2</v>
      </c>
      <c r="F36" s="3">
        <v>4.5999999999999999E-2</v>
      </c>
      <c r="G36" s="3">
        <v>4.7E-2</v>
      </c>
      <c r="H36" s="3">
        <v>5.7000000000000002E-2</v>
      </c>
      <c r="I36" s="3">
        <v>5.8000000000000003E-2</v>
      </c>
      <c r="J36" s="3">
        <v>5.7000000000000002E-2</v>
      </c>
      <c r="K36" s="3">
        <v>5.2999999999999999E-2</v>
      </c>
      <c r="L36" s="3">
        <v>5.1999999999999998E-2</v>
      </c>
      <c r="M36" s="3">
        <v>5.2999999999999999E-2</v>
      </c>
      <c r="N36" s="18">
        <v>562</v>
      </c>
    </row>
    <row r="37" spans="1:14" x14ac:dyDescent="0.35">
      <c r="A37" s="2" t="s">
        <v>3</v>
      </c>
      <c r="B37" s="3">
        <v>5.2999999999999999E-2</v>
      </c>
      <c r="C37" s="3">
        <v>5.2999999999999999E-2</v>
      </c>
      <c r="D37" s="3">
        <v>5.0999999999999997E-2</v>
      </c>
      <c r="E37" s="3">
        <v>4.4999999999999998E-2</v>
      </c>
      <c r="F37" s="3">
        <v>4.4999999999999998E-2</v>
      </c>
      <c r="G37" s="3">
        <v>4.3999999999999997E-2</v>
      </c>
      <c r="H37" s="3">
        <v>5.3999999999999999E-2</v>
      </c>
      <c r="I37" s="3">
        <v>5.0999999999999997E-2</v>
      </c>
      <c r="J37" s="3">
        <v>5.2999999999999999E-2</v>
      </c>
      <c r="K37" s="3">
        <v>4.5999999999999999E-2</v>
      </c>
      <c r="L37" s="3">
        <v>4.4999999999999998E-2</v>
      </c>
      <c r="M37" s="3">
        <v>4.5999999999999999E-2</v>
      </c>
      <c r="N37" s="18">
        <v>562</v>
      </c>
    </row>
    <row r="38" spans="1:14" x14ac:dyDescent="0.35">
      <c r="A38" s="2" t="s">
        <v>4</v>
      </c>
      <c r="B38" s="3">
        <v>0.182</v>
      </c>
      <c r="C38" s="3">
        <v>0.16900000000000001</v>
      </c>
      <c r="D38" s="3">
        <v>0.21199999999999999</v>
      </c>
      <c r="E38" s="3">
        <v>5.0999999999999997E-2</v>
      </c>
      <c r="F38" s="3">
        <v>0.05</v>
      </c>
      <c r="G38" s="3">
        <v>0.05</v>
      </c>
      <c r="H38" s="3">
        <v>4.3999999999999997E-2</v>
      </c>
      <c r="I38" s="3">
        <v>4.3999999999999997E-2</v>
      </c>
      <c r="J38" s="3">
        <v>4.2999999999999997E-2</v>
      </c>
      <c r="K38" s="3">
        <v>7.1999999999999995E-2</v>
      </c>
      <c r="L38" s="3">
        <v>7.2999999999999995E-2</v>
      </c>
      <c r="M38" s="3">
        <v>7.1999999999999995E-2</v>
      </c>
      <c r="N38" s="18">
        <v>562</v>
      </c>
    </row>
    <row r="39" spans="1:14" x14ac:dyDescent="0.35">
      <c r="A39" s="2" t="s">
        <v>5</v>
      </c>
      <c r="B39" s="3">
        <v>3.7999999999999999E-2</v>
      </c>
      <c r="C39" s="3">
        <v>3.7999999999999999E-2</v>
      </c>
      <c r="D39" s="3">
        <v>3.9E-2</v>
      </c>
      <c r="E39" s="3">
        <v>4.2000000000000003E-2</v>
      </c>
      <c r="F39" s="3">
        <v>4.2000000000000003E-2</v>
      </c>
      <c r="G39" s="3">
        <v>4.1000000000000002E-2</v>
      </c>
      <c r="H39" s="3">
        <v>4.2999999999999997E-2</v>
      </c>
      <c r="I39" s="3">
        <v>4.3999999999999997E-2</v>
      </c>
      <c r="J39" s="3">
        <v>4.3999999999999997E-2</v>
      </c>
      <c r="K39" s="3">
        <v>4.7E-2</v>
      </c>
      <c r="L39" s="3">
        <v>4.7E-2</v>
      </c>
      <c r="M39" s="3">
        <v>4.8000000000000001E-2</v>
      </c>
      <c r="N39" s="18">
        <v>562</v>
      </c>
    </row>
    <row r="40" spans="1:14" x14ac:dyDescent="0.35">
      <c r="A40" s="2" t="s">
        <v>6</v>
      </c>
      <c r="B40" s="3">
        <v>9.6000000000000002E-2</v>
      </c>
      <c r="C40" s="3">
        <v>7.0999999999999994E-2</v>
      </c>
      <c r="D40" s="3">
        <v>0.08</v>
      </c>
      <c r="E40" s="3">
        <v>6.9000000000000006E-2</v>
      </c>
      <c r="F40" s="3">
        <v>7.0000000000000007E-2</v>
      </c>
      <c r="G40" s="3">
        <v>6.8000000000000005E-2</v>
      </c>
      <c r="H40" s="3">
        <v>4.3999999999999997E-2</v>
      </c>
      <c r="I40" s="3">
        <v>4.3999999999999997E-2</v>
      </c>
      <c r="J40" s="3">
        <v>4.3999999999999997E-2</v>
      </c>
      <c r="K40" s="3">
        <v>4.7E-2</v>
      </c>
      <c r="L40" s="3">
        <v>4.7E-2</v>
      </c>
      <c r="M40" s="3">
        <v>4.7E-2</v>
      </c>
      <c r="N40" s="18">
        <v>562</v>
      </c>
    </row>
    <row r="41" spans="1:14" x14ac:dyDescent="0.35">
      <c r="A41" s="2" t="s">
        <v>7</v>
      </c>
      <c r="B41" s="3">
        <v>4.9000000000000002E-2</v>
      </c>
      <c r="C41" s="3">
        <v>4.4999999999999998E-2</v>
      </c>
      <c r="D41" s="3">
        <v>4.7E-2</v>
      </c>
      <c r="E41" s="3">
        <v>4.9000000000000002E-2</v>
      </c>
      <c r="F41" s="3">
        <v>4.5999999999999999E-2</v>
      </c>
      <c r="G41" s="3">
        <v>4.5999999999999999E-2</v>
      </c>
      <c r="H41" s="3">
        <v>4.3999999999999997E-2</v>
      </c>
      <c r="I41" s="3">
        <v>4.3999999999999997E-2</v>
      </c>
      <c r="J41" s="3">
        <v>4.2999999999999997E-2</v>
      </c>
      <c r="K41" s="3">
        <v>4.7E-2</v>
      </c>
      <c r="L41" s="3">
        <v>4.7E-2</v>
      </c>
      <c r="M41" s="3">
        <v>4.7E-2</v>
      </c>
      <c r="N41" s="18">
        <v>562</v>
      </c>
    </row>
    <row r="42" spans="1:14" x14ac:dyDescent="0.35">
      <c r="A42" s="2" t="s">
        <v>8</v>
      </c>
      <c r="B42" s="3">
        <v>3.7999999999999999E-2</v>
      </c>
      <c r="C42" s="3">
        <v>0.04</v>
      </c>
      <c r="D42" s="3">
        <v>3.7999999999999999E-2</v>
      </c>
      <c r="E42" s="3">
        <v>5.7000000000000002E-2</v>
      </c>
      <c r="F42" s="3">
        <v>5.6000000000000001E-2</v>
      </c>
      <c r="G42" s="3">
        <v>5.6000000000000001E-2</v>
      </c>
      <c r="H42" s="3">
        <v>0.20100000000000001</v>
      </c>
      <c r="I42" s="3">
        <v>0.192</v>
      </c>
      <c r="J42" s="3">
        <v>0.216</v>
      </c>
      <c r="K42" s="3">
        <v>4.7E-2</v>
      </c>
      <c r="L42" s="3">
        <v>4.7E-2</v>
      </c>
      <c r="M42" s="3">
        <v>4.7E-2</v>
      </c>
      <c r="N42" s="18">
        <v>562</v>
      </c>
    </row>
    <row r="45" spans="1:14" ht="56" x14ac:dyDescent="0.35">
      <c r="A45" s="21" t="s">
        <v>41</v>
      </c>
    </row>
    <row r="47" spans="1:14" x14ac:dyDescent="0.35">
      <c r="A47" s="1" t="s">
        <v>44</v>
      </c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</row>
    <row r="48" spans="1:14" x14ac:dyDescent="0.35">
      <c r="A48" s="2" t="s">
        <v>1</v>
      </c>
      <c r="B48" s="3">
        <v>0.17499999999999999</v>
      </c>
      <c r="C48" s="3">
        <v>0.14399999999999999</v>
      </c>
      <c r="D48" s="3">
        <v>0.16900000000000001</v>
      </c>
      <c r="E48" s="3">
        <v>4.8000000000000001E-2</v>
      </c>
      <c r="F48" s="3">
        <v>4.4999999999999998E-2</v>
      </c>
      <c r="G48" s="3">
        <v>4.7E-2</v>
      </c>
      <c r="H48" s="3">
        <v>4.8000000000000001E-2</v>
      </c>
      <c r="I48" s="3">
        <v>4.5999999999999999E-2</v>
      </c>
      <c r="J48" s="3">
        <v>4.7E-2</v>
      </c>
      <c r="K48" s="3">
        <v>4.8000000000000001E-2</v>
      </c>
      <c r="L48" s="3">
        <v>4.7E-2</v>
      </c>
      <c r="M48" s="3">
        <v>4.8000000000000001E-2</v>
      </c>
      <c r="N48" s="18">
        <v>562</v>
      </c>
    </row>
    <row r="49" spans="1:14" x14ac:dyDescent="0.35">
      <c r="A49" s="2" t="s">
        <v>2</v>
      </c>
      <c r="B49" s="3">
        <v>8.3000000000000004E-2</v>
      </c>
      <c r="C49" s="3">
        <v>7.6999999999999999E-2</v>
      </c>
      <c r="D49" s="3">
        <v>7.5999999999999998E-2</v>
      </c>
      <c r="E49" s="3">
        <v>6.0999999999999999E-2</v>
      </c>
      <c r="F49" s="3">
        <v>5.8000000000000003E-2</v>
      </c>
      <c r="G49" s="3">
        <v>6.0999999999999999E-2</v>
      </c>
      <c r="H49" s="3">
        <v>0.05</v>
      </c>
      <c r="I49" s="3">
        <v>4.9000000000000002E-2</v>
      </c>
      <c r="J49" s="3">
        <v>4.8000000000000001E-2</v>
      </c>
      <c r="K49" s="3">
        <v>4.7E-2</v>
      </c>
      <c r="L49" s="3">
        <v>4.5999999999999999E-2</v>
      </c>
      <c r="M49" s="3">
        <v>4.5999999999999999E-2</v>
      </c>
      <c r="N49" s="18">
        <v>562</v>
      </c>
    </row>
    <row r="50" spans="1:14" x14ac:dyDescent="0.35">
      <c r="A50" s="2" t="s">
        <v>3</v>
      </c>
      <c r="B50" s="3">
        <v>4.4999999999999998E-2</v>
      </c>
      <c r="C50" s="3">
        <v>4.2999999999999997E-2</v>
      </c>
      <c r="D50" s="3">
        <v>4.2999999999999997E-2</v>
      </c>
      <c r="E50" s="3">
        <v>4.8000000000000001E-2</v>
      </c>
      <c r="F50" s="3">
        <v>4.8000000000000001E-2</v>
      </c>
      <c r="G50" s="3">
        <v>4.7E-2</v>
      </c>
      <c r="H50" s="3">
        <v>5.3999999999999999E-2</v>
      </c>
      <c r="I50" s="3">
        <v>5.5E-2</v>
      </c>
      <c r="J50" s="3">
        <v>5.3999999999999999E-2</v>
      </c>
      <c r="K50" s="3">
        <v>4.7E-2</v>
      </c>
      <c r="L50" s="3">
        <v>4.8000000000000001E-2</v>
      </c>
      <c r="M50" s="3">
        <v>4.8000000000000001E-2</v>
      </c>
      <c r="N50" s="18">
        <v>562</v>
      </c>
    </row>
    <row r="51" spans="1:14" x14ac:dyDescent="0.35">
      <c r="A51" s="2" t="s">
        <v>4</v>
      </c>
      <c r="B51" s="3">
        <v>3.6999999999999998E-2</v>
      </c>
      <c r="C51" s="3">
        <v>0.04</v>
      </c>
      <c r="D51" s="3">
        <v>3.6999999999999998E-2</v>
      </c>
      <c r="E51" s="3">
        <v>5.2999999999999999E-2</v>
      </c>
      <c r="F51" s="3">
        <v>5.0999999999999997E-2</v>
      </c>
      <c r="G51" s="3">
        <v>5.0999999999999997E-2</v>
      </c>
      <c r="H51" s="3">
        <v>4.9000000000000002E-2</v>
      </c>
      <c r="I51" s="3">
        <v>4.8000000000000001E-2</v>
      </c>
      <c r="J51" s="3">
        <v>4.7E-2</v>
      </c>
      <c r="K51" s="3">
        <v>5.0999999999999997E-2</v>
      </c>
      <c r="L51" s="3">
        <v>0.05</v>
      </c>
      <c r="M51" s="3">
        <v>0.05</v>
      </c>
      <c r="N51" s="18">
        <v>562</v>
      </c>
    </row>
    <row r="52" spans="1:14" x14ac:dyDescent="0.35">
      <c r="A52" s="2" t="s">
        <v>5</v>
      </c>
      <c r="B52" s="3">
        <v>3.9E-2</v>
      </c>
      <c r="C52" s="3">
        <v>4.3999999999999997E-2</v>
      </c>
      <c r="D52" s="3">
        <v>3.7999999999999999E-2</v>
      </c>
      <c r="E52" s="3">
        <v>5.1999999999999998E-2</v>
      </c>
      <c r="F52" s="3">
        <v>4.9000000000000002E-2</v>
      </c>
      <c r="G52" s="3">
        <v>4.9000000000000002E-2</v>
      </c>
      <c r="H52" s="3">
        <v>4.4999999999999998E-2</v>
      </c>
      <c r="I52" s="3">
        <v>4.4999999999999998E-2</v>
      </c>
      <c r="J52" s="3">
        <v>4.4999999999999998E-2</v>
      </c>
      <c r="K52" s="3">
        <v>6.0999999999999999E-2</v>
      </c>
      <c r="L52" s="3">
        <v>6.2E-2</v>
      </c>
      <c r="M52" s="3">
        <v>6.0999999999999999E-2</v>
      </c>
      <c r="N52" s="18">
        <v>562</v>
      </c>
    </row>
    <row r="53" spans="1:14" x14ac:dyDescent="0.35">
      <c r="A53" s="2" t="s">
        <v>6</v>
      </c>
      <c r="B53" s="3">
        <v>3.9E-2</v>
      </c>
      <c r="C53" s="3">
        <v>3.7999999999999999E-2</v>
      </c>
      <c r="D53" s="3">
        <v>3.6999999999999998E-2</v>
      </c>
      <c r="E53" s="3">
        <v>4.4999999999999998E-2</v>
      </c>
      <c r="F53" s="3">
        <v>4.2000000000000003E-2</v>
      </c>
      <c r="G53" s="3">
        <v>4.5999999999999999E-2</v>
      </c>
      <c r="H53" s="3">
        <v>4.3999999999999997E-2</v>
      </c>
      <c r="I53" s="3">
        <v>4.4999999999999998E-2</v>
      </c>
      <c r="J53" s="3">
        <v>4.3999999999999997E-2</v>
      </c>
      <c r="K53" s="3">
        <v>4.8000000000000001E-2</v>
      </c>
      <c r="L53" s="3">
        <v>4.7E-2</v>
      </c>
      <c r="M53" s="3">
        <v>4.8000000000000001E-2</v>
      </c>
      <c r="N53" s="18">
        <v>562</v>
      </c>
    </row>
    <row r="54" spans="1:14" x14ac:dyDescent="0.35">
      <c r="A54" s="2" t="s">
        <v>7</v>
      </c>
      <c r="B54" s="3">
        <v>0.04</v>
      </c>
      <c r="C54" s="3">
        <v>3.6999999999999998E-2</v>
      </c>
      <c r="D54" s="3">
        <v>3.6999999999999998E-2</v>
      </c>
      <c r="E54" s="3">
        <v>4.3999999999999997E-2</v>
      </c>
      <c r="F54" s="3">
        <v>4.3999999999999997E-2</v>
      </c>
      <c r="G54" s="3">
        <v>4.2999999999999997E-2</v>
      </c>
      <c r="H54" s="3">
        <v>4.7E-2</v>
      </c>
      <c r="I54" s="3">
        <v>4.8000000000000001E-2</v>
      </c>
      <c r="J54" s="3">
        <v>4.8000000000000001E-2</v>
      </c>
      <c r="K54" s="3">
        <v>4.7E-2</v>
      </c>
      <c r="L54" s="3">
        <v>4.7E-2</v>
      </c>
      <c r="M54" s="3">
        <v>4.7E-2</v>
      </c>
      <c r="N54" s="18">
        <v>562</v>
      </c>
    </row>
    <row r="55" spans="1:14" x14ac:dyDescent="0.35">
      <c r="A55" s="2" t="s">
        <v>8</v>
      </c>
      <c r="B55" s="3">
        <v>3.6999999999999998E-2</v>
      </c>
      <c r="C55" s="3">
        <v>3.6999999999999998E-2</v>
      </c>
      <c r="D55" s="3">
        <v>3.6999999999999998E-2</v>
      </c>
      <c r="E55" s="3">
        <v>4.7E-2</v>
      </c>
      <c r="F55" s="3">
        <v>4.7E-2</v>
      </c>
      <c r="G55" s="3">
        <v>4.7E-2</v>
      </c>
      <c r="H55" s="3">
        <v>0.13500000000000001</v>
      </c>
      <c r="I55" s="3">
        <v>0.122</v>
      </c>
      <c r="J55" s="3">
        <v>0.121</v>
      </c>
      <c r="K55" s="3">
        <v>4.7E-2</v>
      </c>
      <c r="L55" s="3">
        <v>4.7E-2</v>
      </c>
      <c r="M55" s="3">
        <v>4.7E-2</v>
      </c>
      <c r="N55" s="18">
        <v>562</v>
      </c>
    </row>
    <row r="57" spans="1:14" x14ac:dyDescent="0.35">
      <c r="A57" s="1" t="s">
        <v>45</v>
      </c>
      <c r="B57" s="2">
        <v>1</v>
      </c>
      <c r="C57" s="2">
        <v>2</v>
      </c>
      <c r="D57" s="2">
        <v>3</v>
      </c>
      <c r="E57" s="2">
        <v>4</v>
      </c>
      <c r="F57" s="2">
        <v>5</v>
      </c>
      <c r="G57" s="2">
        <v>6</v>
      </c>
      <c r="H57" s="2">
        <v>7</v>
      </c>
      <c r="I57" s="2">
        <v>8</v>
      </c>
      <c r="J57" s="2">
        <v>9</v>
      </c>
      <c r="K57" s="2">
        <v>10</v>
      </c>
      <c r="L57" s="2">
        <v>11</v>
      </c>
      <c r="M57" s="2">
        <v>12</v>
      </c>
    </row>
    <row r="58" spans="1:14" x14ac:dyDescent="0.35">
      <c r="A58" s="2" t="s">
        <v>1</v>
      </c>
      <c r="B58" s="3">
        <v>0.30499999999999999</v>
      </c>
      <c r="C58" s="3">
        <v>0.27900000000000003</v>
      </c>
      <c r="D58" s="3">
        <v>0.307</v>
      </c>
      <c r="E58" s="3">
        <v>0.05</v>
      </c>
      <c r="F58" s="3">
        <v>0.05</v>
      </c>
      <c r="G58" s="3">
        <v>0.05</v>
      </c>
      <c r="H58" s="3">
        <v>4.9000000000000002E-2</v>
      </c>
      <c r="I58" s="3">
        <v>4.8000000000000001E-2</v>
      </c>
      <c r="J58" s="3">
        <v>4.8000000000000001E-2</v>
      </c>
      <c r="K58" s="3">
        <v>4.9000000000000002E-2</v>
      </c>
      <c r="L58" s="3">
        <v>4.9000000000000002E-2</v>
      </c>
      <c r="M58" s="3">
        <v>0.05</v>
      </c>
      <c r="N58" s="18">
        <v>562</v>
      </c>
    </row>
    <row r="59" spans="1:14" x14ac:dyDescent="0.35">
      <c r="A59" s="2" t="s">
        <v>2</v>
      </c>
      <c r="B59" s="3">
        <v>0.111</v>
      </c>
      <c r="C59" s="3">
        <v>0.122</v>
      </c>
      <c r="D59" s="3">
        <v>0.113</v>
      </c>
      <c r="E59" s="3">
        <v>6.7000000000000004E-2</v>
      </c>
      <c r="F59" s="3">
        <v>6.5000000000000002E-2</v>
      </c>
      <c r="G59" s="3">
        <v>6.5000000000000002E-2</v>
      </c>
      <c r="H59" s="3">
        <v>5.2999999999999999E-2</v>
      </c>
      <c r="I59" s="3">
        <v>5.1999999999999998E-2</v>
      </c>
      <c r="J59" s="3">
        <v>5.0999999999999997E-2</v>
      </c>
      <c r="K59" s="3">
        <v>5.1999999999999998E-2</v>
      </c>
      <c r="L59" s="3">
        <v>0.05</v>
      </c>
      <c r="M59" s="3">
        <v>5.1999999999999998E-2</v>
      </c>
      <c r="N59" s="18">
        <v>562</v>
      </c>
    </row>
    <row r="60" spans="1:14" x14ac:dyDescent="0.35">
      <c r="A60" s="2" t="s">
        <v>3</v>
      </c>
      <c r="B60" s="3">
        <v>5.2999999999999999E-2</v>
      </c>
      <c r="C60" s="3">
        <v>0.05</v>
      </c>
      <c r="D60" s="3">
        <v>0.05</v>
      </c>
      <c r="E60" s="3">
        <v>5.1999999999999998E-2</v>
      </c>
      <c r="F60" s="3">
        <v>5.3999999999999999E-2</v>
      </c>
      <c r="G60" s="3">
        <v>5.2999999999999999E-2</v>
      </c>
      <c r="H60" s="3">
        <v>5.8999999999999997E-2</v>
      </c>
      <c r="I60" s="3">
        <v>5.8999999999999997E-2</v>
      </c>
      <c r="J60" s="3">
        <v>5.8000000000000003E-2</v>
      </c>
      <c r="K60" s="3">
        <v>5.1999999999999998E-2</v>
      </c>
      <c r="L60" s="3">
        <v>5.1999999999999998E-2</v>
      </c>
      <c r="M60" s="3">
        <v>5.0999999999999997E-2</v>
      </c>
      <c r="N60" s="18">
        <v>562</v>
      </c>
    </row>
    <row r="61" spans="1:14" x14ac:dyDescent="0.35">
      <c r="A61" s="2" t="s">
        <v>4</v>
      </c>
      <c r="B61" s="3">
        <v>3.7999999999999999E-2</v>
      </c>
      <c r="C61" s="3">
        <v>0.04</v>
      </c>
      <c r="D61" s="3">
        <v>3.7999999999999999E-2</v>
      </c>
      <c r="E61" s="3">
        <v>5.5E-2</v>
      </c>
      <c r="F61" s="3">
        <v>5.3999999999999999E-2</v>
      </c>
      <c r="G61" s="3">
        <v>5.3999999999999999E-2</v>
      </c>
      <c r="H61" s="3">
        <v>0.05</v>
      </c>
      <c r="I61" s="3">
        <v>0.05</v>
      </c>
      <c r="J61" s="3">
        <v>5.0999999999999997E-2</v>
      </c>
      <c r="K61" s="3">
        <v>5.1999999999999998E-2</v>
      </c>
      <c r="L61" s="3">
        <v>5.1999999999999998E-2</v>
      </c>
      <c r="M61" s="3">
        <v>5.1999999999999998E-2</v>
      </c>
      <c r="N61" s="18">
        <v>562</v>
      </c>
    </row>
    <row r="62" spans="1:14" x14ac:dyDescent="0.35">
      <c r="A62" s="2" t="s">
        <v>5</v>
      </c>
      <c r="B62" s="3">
        <v>0.17799999999999999</v>
      </c>
      <c r="C62" s="3">
        <v>0.193</v>
      </c>
      <c r="D62" s="3">
        <v>0.16300000000000001</v>
      </c>
      <c r="E62" s="3">
        <v>5.2999999999999999E-2</v>
      </c>
      <c r="F62" s="3">
        <v>5.3999999999999999E-2</v>
      </c>
      <c r="G62" s="3">
        <v>5.2999999999999999E-2</v>
      </c>
      <c r="H62" s="3">
        <v>5.0999999999999997E-2</v>
      </c>
      <c r="I62" s="3">
        <v>5.0999999999999997E-2</v>
      </c>
      <c r="J62" s="3">
        <v>0.05</v>
      </c>
      <c r="K62" s="3">
        <v>6.2E-2</v>
      </c>
      <c r="L62" s="3">
        <v>6.2E-2</v>
      </c>
      <c r="M62" s="3">
        <v>6.0999999999999999E-2</v>
      </c>
      <c r="N62" s="18">
        <v>562</v>
      </c>
    </row>
    <row r="63" spans="1:14" x14ac:dyDescent="0.35">
      <c r="A63" s="2" t="s">
        <v>6</v>
      </c>
      <c r="B63" s="3">
        <v>8.4000000000000005E-2</v>
      </c>
      <c r="C63" s="3">
        <v>8.1000000000000003E-2</v>
      </c>
      <c r="D63" s="3">
        <v>7.2999999999999995E-2</v>
      </c>
      <c r="E63" s="3">
        <v>4.5999999999999999E-2</v>
      </c>
      <c r="F63" s="3">
        <v>4.7E-2</v>
      </c>
      <c r="G63" s="3">
        <v>4.4999999999999998E-2</v>
      </c>
      <c r="H63" s="3">
        <v>4.9000000000000002E-2</v>
      </c>
      <c r="I63" s="3">
        <v>0.05</v>
      </c>
      <c r="J63" s="3">
        <v>4.9000000000000002E-2</v>
      </c>
      <c r="K63" s="3">
        <v>4.9000000000000002E-2</v>
      </c>
      <c r="L63" s="3">
        <v>4.7E-2</v>
      </c>
      <c r="M63" s="3">
        <v>4.8000000000000001E-2</v>
      </c>
      <c r="N63" s="18">
        <v>562</v>
      </c>
    </row>
    <row r="64" spans="1:14" x14ac:dyDescent="0.35">
      <c r="A64" s="2" t="s">
        <v>7</v>
      </c>
      <c r="B64" s="3">
        <v>4.8000000000000001E-2</v>
      </c>
      <c r="C64" s="3">
        <v>4.7E-2</v>
      </c>
      <c r="D64" s="3">
        <v>4.8000000000000001E-2</v>
      </c>
      <c r="E64" s="3">
        <v>4.5999999999999999E-2</v>
      </c>
      <c r="F64" s="3">
        <v>4.5999999999999999E-2</v>
      </c>
      <c r="G64" s="3">
        <v>4.4999999999999998E-2</v>
      </c>
      <c r="H64" s="3">
        <v>5.0999999999999997E-2</v>
      </c>
      <c r="I64" s="3">
        <v>5.1999999999999998E-2</v>
      </c>
      <c r="J64" s="3">
        <v>5.0999999999999997E-2</v>
      </c>
      <c r="K64" s="3">
        <v>4.7E-2</v>
      </c>
      <c r="L64" s="3">
        <v>4.7E-2</v>
      </c>
      <c r="M64" s="3">
        <v>4.7E-2</v>
      </c>
      <c r="N64" s="18">
        <v>562</v>
      </c>
    </row>
    <row r="65" spans="1:14" x14ac:dyDescent="0.35">
      <c r="A65" s="2" t="s">
        <v>8</v>
      </c>
      <c r="B65" s="3">
        <v>3.7999999999999999E-2</v>
      </c>
      <c r="C65" s="3">
        <v>3.9E-2</v>
      </c>
      <c r="D65" s="3">
        <v>3.7999999999999999E-2</v>
      </c>
      <c r="E65" s="3">
        <v>4.9000000000000002E-2</v>
      </c>
      <c r="F65" s="3">
        <v>4.8000000000000001E-2</v>
      </c>
      <c r="G65" s="3">
        <v>4.8000000000000001E-2</v>
      </c>
      <c r="H65" s="3">
        <v>0.188</v>
      </c>
      <c r="I65" s="3">
        <v>0.17799999999999999</v>
      </c>
      <c r="J65" s="3">
        <v>0.17100000000000001</v>
      </c>
      <c r="K65" s="3">
        <v>4.7E-2</v>
      </c>
      <c r="L65" s="3">
        <v>4.7E-2</v>
      </c>
      <c r="M65" s="3">
        <v>4.7E-2</v>
      </c>
      <c r="N65" s="18">
        <v>562</v>
      </c>
    </row>
    <row r="68" spans="1:14" ht="56" x14ac:dyDescent="0.35">
      <c r="A68" s="21" t="s">
        <v>42</v>
      </c>
    </row>
    <row r="70" spans="1:14" x14ac:dyDescent="0.35">
      <c r="A70" s="1" t="s">
        <v>44</v>
      </c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</row>
    <row r="71" spans="1:14" x14ac:dyDescent="0.35">
      <c r="A71" s="2" t="s">
        <v>1</v>
      </c>
      <c r="B71" s="3">
        <v>0.13100000000000001</v>
      </c>
      <c r="C71" s="3">
        <v>0.124</v>
      </c>
      <c r="D71" s="3">
        <v>0.155</v>
      </c>
      <c r="E71" s="3">
        <v>6.9000000000000006E-2</v>
      </c>
      <c r="F71" s="3">
        <v>6.8000000000000005E-2</v>
      </c>
      <c r="G71" s="3">
        <v>6.9000000000000006E-2</v>
      </c>
      <c r="H71" s="3">
        <v>5.3999999999999999E-2</v>
      </c>
      <c r="I71" s="3">
        <v>5.3999999999999999E-2</v>
      </c>
      <c r="J71" s="3">
        <v>5.3999999999999999E-2</v>
      </c>
      <c r="K71" s="3">
        <v>6.6000000000000003E-2</v>
      </c>
      <c r="L71" s="3">
        <v>6.3E-2</v>
      </c>
      <c r="M71" s="3">
        <v>6.6000000000000003E-2</v>
      </c>
      <c r="N71" s="18">
        <v>562</v>
      </c>
    </row>
    <row r="72" spans="1:14" x14ac:dyDescent="0.35">
      <c r="A72" s="2" t="s">
        <v>2</v>
      </c>
      <c r="B72" s="3">
        <v>6.6000000000000003E-2</v>
      </c>
      <c r="C72" s="3">
        <v>7.3999999999999996E-2</v>
      </c>
      <c r="D72" s="3">
        <v>8.6999999999999994E-2</v>
      </c>
      <c r="E72" s="3">
        <v>5.8000000000000003E-2</v>
      </c>
      <c r="F72" s="3">
        <v>5.6000000000000001E-2</v>
      </c>
      <c r="G72" s="3">
        <v>5.6000000000000001E-2</v>
      </c>
      <c r="H72" s="3">
        <v>6.6000000000000003E-2</v>
      </c>
      <c r="I72" s="3">
        <v>6.4000000000000001E-2</v>
      </c>
      <c r="J72" s="3">
        <v>6.4000000000000001E-2</v>
      </c>
      <c r="K72" s="3">
        <v>9.1999999999999998E-2</v>
      </c>
      <c r="L72" s="3">
        <v>0.09</v>
      </c>
      <c r="M72" s="3">
        <v>8.8999999999999996E-2</v>
      </c>
      <c r="N72" s="18">
        <v>562</v>
      </c>
    </row>
    <row r="73" spans="1:14" x14ac:dyDescent="0.35">
      <c r="A73" s="2" t="s">
        <v>3</v>
      </c>
      <c r="B73" s="3">
        <v>4.4999999999999998E-2</v>
      </c>
      <c r="C73" s="3">
        <v>4.3999999999999997E-2</v>
      </c>
      <c r="D73" s="3">
        <v>4.2999999999999997E-2</v>
      </c>
      <c r="E73" s="3">
        <v>5.8000000000000003E-2</v>
      </c>
      <c r="F73" s="3">
        <v>5.3999999999999999E-2</v>
      </c>
      <c r="G73" s="3">
        <v>0.05</v>
      </c>
      <c r="H73" s="3">
        <v>4.9000000000000002E-2</v>
      </c>
      <c r="I73" s="3">
        <v>4.8000000000000001E-2</v>
      </c>
      <c r="J73" s="3">
        <v>4.8000000000000001E-2</v>
      </c>
      <c r="K73" s="3">
        <v>9.2999999999999999E-2</v>
      </c>
      <c r="L73" s="3">
        <v>9.1999999999999998E-2</v>
      </c>
      <c r="M73" s="3">
        <v>0.09</v>
      </c>
      <c r="N73" s="18">
        <v>562</v>
      </c>
    </row>
    <row r="74" spans="1:14" x14ac:dyDescent="0.35">
      <c r="A74" s="2" t="s">
        <v>4</v>
      </c>
      <c r="B74" s="3">
        <v>3.7999999999999999E-2</v>
      </c>
      <c r="C74" s="3">
        <v>3.7999999999999999E-2</v>
      </c>
      <c r="D74" s="3">
        <v>3.7999999999999999E-2</v>
      </c>
      <c r="E74" s="3">
        <v>0.05</v>
      </c>
      <c r="F74" s="3">
        <v>0.05</v>
      </c>
      <c r="G74" s="3">
        <v>4.9000000000000002E-2</v>
      </c>
      <c r="H74" s="3">
        <v>5.3999999999999999E-2</v>
      </c>
      <c r="I74" s="3">
        <v>5.3999999999999999E-2</v>
      </c>
      <c r="J74" s="3">
        <v>5.5E-2</v>
      </c>
      <c r="K74" s="3">
        <v>0.105</v>
      </c>
      <c r="L74" s="3">
        <v>0.1</v>
      </c>
      <c r="M74" s="3">
        <v>0.104</v>
      </c>
      <c r="N74" s="18">
        <v>562</v>
      </c>
    </row>
    <row r="75" spans="1:14" x14ac:dyDescent="0.35">
      <c r="A75" s="2" t="s">
        <v>5</v>
      </c>
      <c r="B75" s="3">
        <v>3.9E-2</v>
      </c>
      <c r="C75" s="3">
        <v>3.9E-2</v>
      </c>
      <c r="D75" s="3">
        <v>3.9E-2</v>
      </c>
      <c r="E75" s="3">
        <v>6.5000000000000002E-2</v>
      </c>
      <c r="F75" s="3">
        <v>6.4000000000000001E-2</v>
      </c>
      <c r="G75" s="3">
        <v>6.2E-2</v>
      </c>
      <c r="H75" s="3">
        <v>6.8000000000000005E-2</v>
      </c>
      <c r="I75" s="3">
        <v>6.6000000000000003E-2</v>
      </c>
      <c r="J75" s="3">
        <v>6.6000000000000003E-2</v>
      </c>
      <c r="K75" s="3">
        <v>4.8000000000000001E-2</v>
      </c>
      <c r="L75" s="3">
        <v>4.7E-2</v>
      </c>
      <c r="M75" s="3">
        <v>4.8000000000000001E-2</v>
      </c>
      <c r="N75" s="18">
        <v>562</v>
      </c>
    </row>
    <row r="76" spans="1:14" x14ac:dyDescent="0.35">
      <c r="A76" s="2" t="s">
        <v>6</v>
      </c>
      <c r="B76" s="3">
        <v>3.9E-2</v>
      </c>
      <c r="C76" s="3">
        <v>3.9E-2</v>
      </c>
      <c r="D76" s="3">
        <v>3.7999999999999999E-2</v>
      </c>
      <c r="E76" s="3">
        <v>6.9000000000000006E-2</v>
      </c>
      <c r="F76" s="3">
        <v>6.5000000000000002E-2</v>
      </c>
      <c r="G76" s="3">
        <v>6.6000000000000003E-2</v>
      </c>
      <c r="H76" s="3">
        <v>6.7000000000000004E-2</v>
      </c>
      <c r="I76" s="3">
        <v>6.7000000000000004E-2</v>
      </c>
      <c r="J76" s="3">
        <v>6.6000000000000003E-2</v>
      </c>
      <c r="K76" s="3">
        <v>4.7E-2</v>
      </c>
      <c r="L76" s="3">
        <v>4.7E-2</v>
      </c>
      <c r="M76" s="3">
        <v>4.8000000000000001E-2</v>
      </c>
      <c r="N76" s="18">
        <v>562</v>
      </c>
    </row>
    <row r="77" spans="1:14" x14ac:dyDescent="0.35">
      <c r="A77" s="2" t="s">
        <v>7</v>
      </c>
      <c r="B77" s="3">
        <v>3.7999999999999999E-2</v>
      </c>
      <c r="C77" s="3">
        <v>3.7999999999999999E-2</v>
      </c>
      <c r="D77" s="3">
        <v>3.7999999999999999E-2</v>
      </c>
      <c r="E77" s="3">
        <v>0.05</v>
      </c>
      <c r="F77" s="3">
        <v>4.9000000000000002E-2</v>
      </c>
      <c r="G77" s="3">
        <v>4.9000000000000002E-2</v>
      </c>
      <c r="H77" s="3">
        <v>6.9000000000000006E-2</v>
      </c>
      <c r="I77" s="3">
        <v>6.6000000000000003E-2</v>
      </c>
      <c r="J77" s="3">
        <v>6.6000000000000003E-2</v>
      </c>
      <c r="K77" s="3">
        <v>4.7E-2</v>
      </c>
      <c r="L77" s="3">
        <v>4.7E-2</v>
      </c>
      <c r="M77" s="3">
        <v>4.7E-2</v>
      </c>
      <c r="N77" s="18">
        <v>562</v>
      </c>
    </row>
    <row r="78" spans="1:14" x14ac:dyDescent="0.35">
      <c r="A78" s="2" t="s">
        <v>8</v>
      </c>
      <c r="B78" s="3">
        <v>3.6999999999999998E-2</v>
      </c>
      <c r="C78" s="3">
        <v>3.6999999999999998E-2</v>
      </c>
      <c r="D78" s="3">
        <v>3.7999999999999999E-2</v>
      </c>
      <c r="E78" s="3">
        <v>5.8000000000000003E-2</v>
      </c>
      <c r="F78" s="3">
        <v>5.7000000000000002E-2</v>
      </c>
      <c r="G78" s="3">
        <v>5.7000000000000002E-2</v>
      </c>
      <c r="H78" s="3">
        <v>0.159</v>
      </c>
      <c r="I78" s="3">
        <v>0.128</v>
      </c>
      <c r="J78" s="3">
        <v>0.156</v>
      </c>
      <c r="K78" s="3">
        <v>4.7E-2</v>
      </c>
      <c r="L78" s="3">
        <v>4.7E-2</v>
      </c>
      <c r="M78" s="3">
        <v>4.7E-2</v>
      </c>
      <c r="N78" s="18">
        <v>562</v>
      </c>
    </row>
    <row r="80" spans="1:14" x14ac:dyDescent="0.35">
      <c r="A80" s="1" t="s">
        <v>45</v>
      </c>
      <c r="B80" s="2">
        <v>1</v>
      </c>
      <c r="C80" s="2">
        <v>2</v>
      </c>
      <c r="D80" s="2">
        <v>3</v>
      </c>
      <c r="E80" s="2">
        <v>4</v>
      </c>
      <c r="F80" s="2">
        <v>5</v>
      </c>
      <c r="G80" s="2">
        <v>6</v>
      </c>
      <c r="H80" s="2">
        <v>7</v>
      </c>
      <c r="I80" s="2">
        <v>8</v>
      </c>
      <c r="J80" s="2">
        <v>9</v>
      </c>
      <c r="K80" s="2">
        <v>10</v>
      </c>
      <c r="L80" s="2">
        <v>11</v>
      </c>
      <c r="M80" s="2">
        <v>12</v>
      </c>
    </row>
    <row r="81" spans="1:14" x14ac:dyDescent="0.35">
      <c r="A81" s="2" t="s">
        <v>1</v>
      </c>
      <c r="B81" s="3">
        <v>0.29699999999999999</v>
      </c>
      <c r="C81" s="3">
        <v>0.29299999999999998</v>
      </c>
      <c r="D81" s="3">
        <v>0.29299999999999998</v>
      </c>
      <c r="E81" s="3">
        <v>6.8000000000000005E-2</v>
      </c>
      <c r="F81" s="3">
        <v>6.7000000000000004E-2</v>
      </c>
      <c r="G81" s="3">
        <v>6.7000000000000004E-2</v>
      </c>
      <c r="H81" s="3">
        <v>5.7000000000000002E-2</v>
      </c>
      <c r="I81" s="3">
        <v>5.5E-2</v>
      </c>
      <c r="J81" s="3">
        <v>5.3999999999999999E-2</v>
      </c>
      <c r="K81" s="3">
        <v>6.5000000000000002E-2</v>
      </c>
      <c r="L81" s="3">
        <v>6.3E-2</v>
      </c>
      <c r="M81" s="3">
        <v>6.5000000000000002E-2</v>
      </c>
      <c r="N81" s="18">
        <v>562</v>
      </c>
    </row>
    <row r="82" spans="1:14" x14ac:dyDescent="0.35">
      <c r="A82" s="2" t="s">
        <v>2</v>
      </c>
      <c r="B82" s="3">
        <v>0.104</v>
      </c>
      <c r="C82" s="3">
        <v>0.114</v>
      </c>
      <c r="D82" s="3">
        <v>0.11899999999999999</v>
      </c>
      <c r="E82" s="3">
        <v>5.8999999999999997E-2</v>
      </c>
      <c r="F82" s="3">
        <v>5.7000000000000002E-2</v>
      </c>
      <c r="G82" s="3">
        <v>5.6000000000000001E-2</v>
      </c>
      <c r="H82" s="3">
        <v>6.6000000000000003E-2</v>
      </c>
      <c r="I82" s="3">
        <v>6.3E-2</v>
      </c>
      <c r="J82" s="3">
        <v>6.5000000000000002E-2</v>
      </c>
      <c r="K82" s="3">
        <v>0.09</v>
      </c>
      <c r="L82" s="3">
        <v>8.7999999999999995E-2</v>
      </c>
      <c r="M82" s="3">
        <v>8.8999999999999996E-2</v>
      </c>
      <c r="N82" s="18">
        <v>562</v>
      </c>
    </row>
    <row r="83" spans="1:14" x14ac:dyDescent="0.35">
      <c r="A83" s="2" t="s">
        <v>3</v>
      </c>
      <c r="B83" s="3">
        <v>5.1999999999999998E-2</v>
      </c>
      <c r="C83" s="3">
        <v>5.1999999999999998E-2</v>
      </c>
      <c r="D83" s="3">
        <v>0.05</v>
      </c>
      <c r="E83" s="3">
        <v>5.5E-2</v>
      </c>
      <c r="F83" s="3">
        <v>5.8000000000000003E-2</v>
      </c>
      <c r="G83" s="3">
        <v>5.5E-2</v>
      </c>
      <c r="H83" s="3">
        <v>4.9000000000000002E-2</v>
      </c>
      <c r="I83" s="3">
        <v>4.9000000000000002E-2</v>
      </c>
      <c r="J83" s="3">
        <v>4.9000000000000002E-2</v>
      </c>
      <c r="K83" s="3">
        <v>9.1999999999999998E-2</v>
      </c>
      <c r="L83" s="3">
        <v>9.2999999999999999E-2</v>
      </c>
      <c r="M83" s="3">
        <v>8.8999999999999996E-2</v>
      </c>
      <c r="N83" s="18">
        <v>562</v>
      </c>
    </row>
    <row r="84" spans="1:14" x14ac:dyDescent="0.35">
      <c r="A84" s="2" t="s">
        <v>4</v>
      </c>
      <c r="B84" s="3">
        <v>0.04</v>
      </c>
      <c r="C84" s="3">
        <v>3.7999999999999999E-2</v>
      </c>
      <c r="D84" s="3">
        <v>3.7999999999999999E-2</v>
      </c>
      <c r="E84" s="3">
        <v>5.1999999999999998E-2</v>
      </c>
      <c r="F84" s="3">
        <v>0.05</v>
      </c>
      <c r="G84" s="3">
        <v>0.05</v>
      </c>
      <c r="H84" s="3">
        <v>5.3999999999999999E-2</v>
      </c>
      <c r="I84" s="3">
        <v>5.3999999999999999E-2</v>
      </c>
      <c r="J84" s="3">
        <v>5.6000000000000001E-2</v>
      </c>
      <c r="K84" s="3">
        <v>0.105</v>
      </c>
      <c r="L84" s="3">
        <v>0.10100000000000001</v>
      </c>
      <c r="M84" s="3">
        <v>0.10199999999999999</v>
      </c>
      <c r="N84" s="18">
        <v>562</v>
      </c>
    </row>
    <row r="85" spans="1:14" x14ac:dyDescent="0.35">
      <c r="A85" s="2" t="s">
        <v>5</v>
      </c>
      <c r="B85" s="3">
        <v>0.17299999999999999</v>
      </c>
      <c r="C85" s="3">
        <v>0.19400000000000001</v>
      </c>
      <c r="D85" s="3">
        <v>0.123</v>
      </c>
      <c r="E85" s="3">
        <v>6.3E-2</v>
      </c>
      <c r="F85" s="3">
        <v>6.4000000000000001E-2</v>
      </c>
      <c r="G85" s="3">
        <v>6.2E-2</v>
      </c>
      <c r="H85" s="3">
        <v>6.7000000000000004E-2</v>
      </c>
      <c r="I85" s="3">
        <v>6.6000000000000003E-2</v>
      </c>
      <c r="J85" s="3">
        <v>6.6000000000000003E-2</v>
      </c>
      <c r="K85" s="3">
        <v>4.8000000000000001E-2</v>
      </c>
      <c r="L85" s="3">
        <v>4.7E-2</v>
      </c>
      <c r="M85" s="3">
        <v>4.8000000000000001E-2</v>
      </c>
      <c r="N85" s="18">
        <v>562</v>
      </c>
    </row>
    <row r="86" spans="1:14" x14ac:dyDescent="0.35">
      <c r="A86" s="2" t="s">
        <v>6</v>
      </c>
      <c r="B86" s="3">
        <v>8.3000000000000004E-2</v>
      </c>
      <c r="C86" s="3">
        <v>7.6999999999999999E-2</v>
      </c>
      <c r="D86" s="3">
        <v>5.7000000000000002E-2</v>
      </c>
      <c r="E86" s="3">
        <v>6.9000000000000006E-2</v>
      </c>
      <c r="F86" s="3">
        <v>6.7000000000000004E-2</v>
      </c>
      <c r="G86" s="3">
        <v>6.6000000000000003E-2</v>
      </c>
      <c r="H86" s="3">
        <v>6.6000000000000003E-2</v>
      </c>
      <c r="I86" s="3">
        <v>6.7000000000000004E-2</v>
      </c>
      <c r="J86" s="3">
        <v>6.7000000000000004E-2</v>
      </c>
      <c r="K86" s="3">
        <v>4.7E-2</v>
      </c>
      <c r="L86" s="3">
        <v>4.7E-2</v>
      </c>
      <c r="M86" s="3">
        <v>4.7E-2</v>
      </c>
      <c r="N86" s="18">
        <v>562</v>
      </c>
    </row>
    <row r="87" spans="1:14" x14ac:dyDescent="0.35">
      <c r="A87" s="2" t="s">
        <v>7</v>
      </c>
      <c r="B87" s="3">
        <v>4.5999999999999999E-2</v>
      </c>
      <c r="C87" s="3">
        <v>4.5999999999999999E-2</v>
      </c>
      <c r="D87" s="3">
        <v>4.4999999999999998E-2</v>
      </c>
      <c r="E87" s="3">
        <v>5.0999999999999997E-2</v>
      </c>
      <c r="F87" s="3">
        <v>0.05</v>
      </c>
      <c r="G87" s="3">
        <v>0.05</v>
      </c>
      <c r="H87" s="3">
        <v>6.9000000000000006E-2</v>
      </c>
      <c r="I87" s="3">
        <v>6.7000000000000004E-2</v>
      </c>
      <c r="J87" s="3">
        <v>6.6000000000000003E-2</v>
      </c>
      <c r="K87" s="3">
        <v>4.7E-2</v>
      </c>
      <c r="L87" s="3">
        <v>4.7E-2</v>
      </c>
      <c r="M87" s="3">
        <v>4.8000000000000001E-2</v>
      </c>
      <c r="N87" s="18">
        <v>562</v>
      </c>
    </row>
    <row r="88" spans="1:14" x14ac:dyDescent="0.35">
      <c r="A88" s="2" t="s">
        <v>8</v>
      </c>
      <c r="B88" s="3">
        <v>4.2000000000000003E-2</v>
      </c>
      <c r="C88" s="3">
        <v>3.7999999999999999E-2</v>
      </c>
      <c r="D88" s="3">
        <v>3.7999999999999999E-2</v>
      </c>
      <c r="E88" s="3">
        <v>5.8000000000000003E-2</v>
      </c>
      <c r="F88" s="3">
        <v>5.8000000000000003E-2</v>
      </c>
      <c r="G88" s="3">
        <v>5.7000000000000002E-2</v>
      </c>
      <c r="H88" s="3">
        <v>0.21299999999999999</v>
      </c>
      <c r="I88" s="3">
        <v>0.17</v>
      </c>
      <c r="J88" s="3">
        <v>0.20499999999999999</v>
      </c>
      <c r="K88" s="3">
        <v>4.7E-2</v>
      </c>
      <c r="L88" s="3">
        <v>4.7E-2</v>
      </c>
      <c r="M88" s="3">
        <v>4.8000000000000001E-2</v>
      </c>
      <c r="N88" s="18">
        <v>562</v>
      </c>
    </row>
    <row r="91" spans="1:14" ht="28" x14ac:dyDescent="0.35">
      <c r="A91" s="21" t="s">
        <v>43</v>
      </c>
    </row>
    <row r="93" spans="1:14" x14ac:dyDescent="0.35">
      <c r="A93" s="1" t="s">
        <v>44</v>
      </c>
      <c r="B93" s="2">
        <v>1</v>
      </c>
      <c r="C93" s="2">
        <v>2</v>
      </c>
      <c r="D93" s="2">
        <v>3</v>
      </c>
      <c r="E93" s="2">
        <v>4</v>
      </c>
      <c r="F93" s="2">
        <v>5</v>
      </c>
      <c r="G93" s="2">
        <v>6</v>
      </c>
      <c r="H93" s="2">
        <v>7</v>
      </c>
      <c r="I93" s="2">
        <v>8</v>
      </c>
      <c r="J93" s="2">
        <v>9</v>
      </c>
      <c r="K93" s="2">
        <v>10</v>
      </c>
      <c r="L93" s="2">
        <v>11</v>
      </c>
      <c r="M93" s="2">
        <v>12</v>
      </c>
    </row>
    <row r="94" spans="1:14" x14ac:dyDescent="0.35">
      <c r="A94" s="2" t="s">
        <v>1</v>
      </c>
      <c r="B94" s="3">
        <v>0.16700000000000001</v>
      </c>
      <c r="C94" s="3">
        <v>0.16700000000000001</v>
      </c>
      <c r="D94" s="3">
        <v>0.18099999999999999</v>
      </c>
      <c r="E94" s="3">
        <v>4.9000000000000002E-2</v>
      </c>
      <c r="F94" s="3">
        <v>4.9000000000000002E-2</v>
      </c>
      <c r="G94" s="3">
        <v>4.9000000000000002E-2</v>
      </c>
      <c r="H94" s="3">
        <v>5.8000000000000003E-2</v>
      </c>
      <c r="I94" s="3">
        <v>5.5E-2</v>
      </c>
      <c r="J94" s="3">
        <v>5.8000000000000003E-2</v>
      </c>
      <c r="K94" s="3">
        <v>4.9000000000000002E-2</v>
      </c>
      <c r="L94" s="3">
        <v>4.8000000000000001E-2</v>
      </c>
      <c r="M94" s="3">
        <v>4.7E-2</v>
      </c>
      <c r="N94" s="18">
        <v>562</v>
      </c>
    </row>
    <row r="95" spans="1:14" x14ac:dyDescent="0.35">
      <c r="A95" s="2" t="s">
        <v>2</v>
      </c>
      <c r="B95" s="3">
        <v>6.8000000000000005E-2</v>
      </c>
      <c r="C95" s="3">
        <v>8.2000000000000003E-2</v>
      </c>
      <c r="D95" s="3">
        <v>7.5999999999999998E-2</v>
      </c>
      <c r="E95" s="3">
        <v>8.1000000000000003E-2</v>
      </c>
      <c r="F95" s="3">
        <v>8.2000000000000003E-2</v>
      </c>
      <c r="G95" s="3">
        <v>7.9000000000000001E-2</v>
      </c>
      <c r="H95" s="3">
        <v>0.04</v>
      </c>
      <c r="I95" s="3">
        <v>0.04</v>
      </c>
      <c r="J95" s="3">
        <v>3.9E-2</v>
      </c>
      <c r="K95" s="3">
        <v>4.7E-2</v>
      </c>
      <c r="L95" s="3">
        <v>4.7E-2</v>
      </c>
      <c r="M95" s="3">
        <v>4.7E-2</v>
      </c>
      <c r="N95" s="18">
        <v>562</v>
      </c>
    </row>
    <row r="96" spans="1:14" x14ac:dyDescent="0.35">
      <c r="A96" s="2" t="s">
        <v>3</v>
      </c>
      <c r="B96" s="3">
        <v>4.2999999999999997E-2</v>
      </c>
      <c r="C96" s="3">
        <v>4.2000000000000003E-2</v>
      </c>
      <c r="D96" s="3">
        <v>4.3999999999999997E-2</v>
      </c>
      <c r="E96" s="3">
        <v>4.5999999999999999E-2</v>
      </c>
      <c r="F96" s="3">
        <v>4.5999999999999999E-2</v>
      </c>
      <c r="G96" s="3">
        <v>4.4999999999999998E-2</v>
      </c>
      <c r="H96" s="3">
        <v>4.2999999999999997E-2</v>
      </c>
      <c r="I96" s="3">
        <v>5.2999999999999999E-2</v>
      </c>
      <c r="J96" s="3">
        <v>4.2000000000000003E-2</v>
      </c>
      <c r="K96" s="3">
        <v>4.7E-2</v>
      </c>
      <c r="L96" s="3">
        <v>4.8000000000000001E-2</v>
      </c>
      <c r="M96" s="3">
        <v>4.7E-2</v>
      </c>
      <c r="N96" s="18">
        <v>562</v>
      </c>
    </row>
    <row r="97" spans="1:14" x14ac:dyDescent="0.35">
      <c r="A97" s="2" t="s">
        <v>4</v>
      </c>
      <c r="B97" s="3">
        <v>5.1999999999999998E-2</v>
      </c>
      <c r="C97" s="3">
        <v>9.4E-2</v>
      </c>
      <c r="D97" s="3">
        <v>3.7999999999999999E-2</v>
      </c>
      <c r="E97" s="3">
        <v>4.4999999999999998E-2</v>
      </c>
      <c r="F97" s="3">
        <v>4.5999999999999999E-2</v>
      </c>
      <c r="G97" s="3">
        <v>0.05</v>
      </c>
      <c r="H97" s="3">
        <v>4.2999999999999997E-2</v>
      </c>
      <c r="I97" s="3">
        <v>4.2000000000000003E-2</v>
      </c>
      <c r="J97" s="3">
        <v>4.2000000000000003E-2</v>
      </c>
      <c r="K97" s="3">
        <v>4.8000000000000001E-2</v>
      </c>
      <c r="L97" s="3">
        <v>0.05</v>
      </c>
      <c r="M97" s="3">
        <v>4.8000000000000001E-2</v>
      </c>
      <c r="N97" s="18">
        <v>562</v>
      </c>
    </row>
    <row r="98" spans="1:14" x14ac:dyDescent="0.35">
      <c r="A98" s="2" t="s">
        <v>5</v>
      </c>
      <c r="B98" s="3">
        <v>0.04</v>
      </c>
      <c r="C98" s="3">
        <v>3.7999999999999999E-2</v>
      </c>
      <c r="D98" s="3">
        <v>3.9E-2</v>
      </c>
      <c r="E98" s="3">
        <v>4.7E-2</v>
      </c>
      <c r="F98" s="3">
        <v>4.5999999999999999E-2</v>
      </c>
      <c r="G98" s="3">
        <v>4.5999999999999999E-2</v>
      </c>
      <c r="H98" s="3">
        <v>8.2000000000000003E-2</v>
      </c>
      <c r="I98" s="3">
        <v>8.1000000000000003E-2</v>
      </c>
      <c r="J98" s="3">
        <v>0.08</v>
      </c>
      <c r="K98" s="3">
        <v>4.8000000000000001E-2</v>
      </c>
      <c r="L98" s="3">
        <v>4.7E-2</v>
      </c>
      <c r="M98" s="3">
        <v>4.7E-2</v>
      </c>
      <c r="N98" s="18">
        <v>562</v>
      </c>
    </row>
    <row r="99" spans="1:14" x14ac:dyDescent="0.35">
      <c r="A99" s="2" t="s">
        <v>6</v>
      </c>
      <c r="B99" s="3">
        <v>3.6999999999999998E-2</v>
      </c>
      <c r="C99" s="3">
        <v>3.7999999999999999E-2</v>
      </c>
      <c r="D99" s="3">
        <v>3.7999999999999999E-2</v>
      </c>
      <c r="E99" s="3">
        <v>4.8000000000000001E-2</v>
      </c>
      <c r="F99" s="3">
        <v>4.7E-2</v>
      </c>
      <c r="G99" s="3">
        <v>4.7E-2</v>
      </c>
      <c r="H99" s="3">
        <v>0.159</v>
      </c>
      <c r="I99" s="3">
        <v>0.18099999999999999</v>
      </c>
      <c r="J99" s="3">
        <v>0.16700000000000001</v>
      </c>
      <c r="K99" s="3">
        <v>4.7E-2</v>
      </c>
      <c r="L99" s="3">
        <v>4.7E-2</v>
      </c>
      <c r="M99" s="3">
        <v>4.7E-2</v>
      </c>
      <c r="N99" s="18">
        <v>562</v>
      </c>
    </row>
    <row r="100" spans="1:14" x14ac:dyDescent="0.35">
      <c r="A100" s="2" t="s">
        <v>7</v>
      </c>
      <c r="B100" s="3">
        <v>3.7999999999999999E-2</v>
      </c>
      <c r="C100" s="3">
        <v>3.6999999999999998E-2</v>
      </c>
      <c r="D100" s="3">
        <v>3.6999999999999998E-2</v>
      </c>
      <c r="E100" s="3">
        <v>6.3E-2</v>
      </c>
      <c r="F100" s="3">
        <v>6.3E-2</v>
      </c>
      <c r="G100" s="3">
        <v>6.2E-2</v>
      </c>
      <c r="H100" s="3">
        <v>4.8000000000000001E-2</v>
      </c>
      <c r="I100" s="3">
        <v>4.7E-2</v>
      </c>
      <c r="J100" s="3">
        <v>4.7E-2</v>
      </c>
      <c r="K100" s="3">
        <v>4.7E-2</v>
      </c>
      <c r="L100" s="3">
        <v>4.7E-2</v>
      </c>
      <c r="M100" s="3">
        <v>4.7E-2</v>
      </c>
      <c r="N100" s="18">
        <v>562</v>
      </c>
    </row>
    <row r="101" spans="1:14" x14ac:dyDescent="0.35">
      <c r="A101" s="2" t="s">
        <v>8</v>
      </c>
      <c r="B101" s="3">
        <v>3.6999999999999998E-2</v>
      </c>
      <c r="C101" s="3">
        <v>3.6999999999999998E-2</v>
      </c>
      <c r="D101" s="3">
        <v>3.7999999999999999E-2</v>
      </c>
      <c r="E101" s="3">
        <v>5.3999999999999999E-2</v>
      </c>
      <c r="F101" s="3">
        <v>5.2999999999999999E-2</v>
      </c>
      <c r="G101" s="3">
        <v>5.1999999999999998E-2</v>
      </c>
      <c r="H101" s="3">
        <v>4.7E-2</v>
      </c>
      <c r="I101" s="3">
        <v>4.7E-2</v>
      </c>
      <c r="J101" s="3">
        <v>4.8000000000000001E-2</v>
      </c>
      <c r="K101" s="3">
        <v>4.7E-2</v>
      </c>
      <c r="L101" s="3">
        <v>4.7E-2</v>
      </c>
      <c r="M101" s="3">
        <v>4.7E-2</v>
      </c>
      <c r="N101" s="18">
        <v>562</v>
      </c>
    </row>
    <row r="103" spans="1:14" x14ac:dyDescent="0.35">
      <c r="A103" s="1" t="s">
        <v>45</v>
      </c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</row>
    <row r="104" spans="1:14" x14ac:dyDescent="0.35">
      <c r="A104" s="2" t="s">
        <v>1</v>
      </c>
      <c r="B104" s="3">
        <v>0.27700000000000002</v>
      </c>
      <c r="C104" s="3">
        <v>0.308</v>
      </c>
      <c r="D104" s="3">
        <v>0.30299999999999999</v>
      </c>
      <c r="E104" s="3">
        <v>5.0999999999999997E-2</v>
      </c>
      <c r="F104" s="3">
        <v>5.0999999999999997E-2</v>
      </c>
      <c r="G104" s="3">
        <v>0.05</v>
      </c>
      <c r="H104" s="3">
        <v>5.8000000000000003E-2</v>
      </c>
      <c r="I104" s="3">
        <v>5.6000000000000001E-2</v>
      </c>
      <c r="J104" s="3">
        <v>5.8000000000000003E-2</v>
      </c>
      <c r="K104" s="3">
        <v>4.9000000000000002E-2</v>
      </c>
      <c r="L104" s="3">
        <v>4.7E-2</v>
      </c>
      <c r="M104" s="3">
        <v>4.5999999999999999E-2</v>
      </c>
      <c r="N104" s="18">
        <v>562</v>
      </c>
    </row>
    <row r="105" spans="1:14" x14ac:dyDescent="0.35">
      <c r="A105" s="2" t="s">
        <v>2</v>
      </c>
      <c r="B105" s="3">
        <v>0.113</v>
      </c>
      <c r="C105" s="3">
        <v>0.115</v>
      </c>
      <c r="D105" s="3">
        <v>0.115</v>
      </c>
      <c r="E105" s="3">
        <v>0.11</v>
      </c>
      <c r="F105" s="3">
        <v>0.111</v>
      </c>
      <c r="G105" s="3">
        <v>0.104</v>
      </c>
      <c r="H105" s="3">
        <v>4.3999999999999997E-2</v>
      </c>
      <c r="I105" s="3">
        <v>4.3999999999999997E-2</v>
      </c>
      <c r="J105" s="3">
        <v>4.2999999999999997E-2</v>
      </c>
      <c r="K105" s="3">
        <v>4.7E-2</v>
      </c>
      <c r="L105" s="3">
        <v>4.7E-2</v>
      </c>
      <c r="M105" s="3">
        <v>4.5999999999999999E-2</v>
      </c>
      <c r="N105" s="18">
        <v>562</v>
      </c>
    </row>
    <row r="106" spans="1:14" x14ac:dyDescent="0.35">
      <c r="A106" s="2" t="s">
        <v>3</v>
      </c>
      <c r="B106" s="3">
        <v>5.0999999999999997E-2</v>
      </c>
      <c r="C106" s="3">
        <v>4.9000000000000002E-2</v>
      </c>
      <c r="D106" s="3">
        <v>0.05</v>
      </c>
      <c r="E106" s="3">
        <v>4.8000000000000001E-2</v>
      </c>
      <c r="F106" s="3">
        <v>4.8000000000000001E-2</v>
      </c>
      <c r="G106" s="3">
        <v>4.8000000000000001E-2</v>
      </c>
      <c r="H106" s="3">
        <v>6.3E-2</v>
      </c>
      <c r="I106" s="3">
        <v>7.2999999999999995E-2</v>
      </c>
      <c r="J106" s="3">
        <v>0.06</v>
      </c>
      <c r="K106" s="3">
        <v>4.7E-2</v>
      </c>
      <c r="L106" s="3">
        <v>4.7E-2</v>
      </c>
      <c r="M106" s="3">
        <v>4.7E-2</v>
      </c>
      <c r="N106" s="18">
        <v>562</v>
      </c>
    </row>
    <row r="107" spans="1:14" x14ac:dyDescent="0.35">
      <c r="A107" s="2" t="s">
        <v>4</v>
      </c>
      <c r="B107" s="3">
        <v>5.1999999999999998E-2</v>
      </c>
      <c r="C107" s="3">
        <v>9.4E-2</v>
      </c>
      <c r="D107" s="3">
        <v>3.7999999999999999E-2</v>
      </c>
      <c r="E107" s="3">
        <v>4.9000000000000002E-2</v>
      </c>
      <c r="F107" s="3">
        <v>0.05</v>
      </c>
      <c r="G107" s="3">
        <v>5.3999999999999999E-2</v>
      </c>
      <c r="H107" s="3">
        <v>0.06</v>
      </c>
      <c r="I107" s="3">
        <v>5.7000000000000002E-2</v>
      </c>
      <c r="J107" s="3">
        <v>6.2E-2</v>
      </c>
      <c r="K107" s="3">
        <v>4.7E-2</v>
      </c>
      <c r="L107" s="3">
        <v>0.05</v>
      </c>
      <c r="M107" s="3">
        <v>4.7E-2</v>
      </c>
      <c r="N107" s="18">
        <v>562</v>
      </c>
    </row>
    <row r="108" spans="1:14" x14ac:dyDescent="0.35">
      <c r="A108" s="2" t="s">
        <v>5</v>
      </c>
      <c r="B108" s="3">
        <v>0.183</v>
      </c>
      <c r="C108" s="3">
        <v>0.17100000000000001</v>
      </c>
      <c r="D108" s="3">
        <v>0.15</v>
      </c>
      <c r="E108" s="3">
        <v>4.8000000000000001E-2</v>
      </c>
      <c r="F108" s="3">
        <v>4.7E-2</v>
      </c>
      <c r="G108" s="3">
        <v>4.7E-2</v>
      </c>
      <c r="H108" s="3">
        <v>8.1000000000000003E-2</v>
      </c>
      <c r="I108" s="3">
        <v>0.08</v>
      </c>
      <c r="J108" s="3">
        <v>7.8E-2</v>
      </c>
      <c r="K108" s="3">
        <v>4.8000000000000001E-2</v>
      </c>
      <c r="L108" s="3">
        <v>4.7E-2</v>
      </c>
      <c r="M108" s="3">
        <v>4.7E-2</v>
      </c>
      <c r="N108" s="18">
        <v>562</v>
      </c>
    </row>
    <row r="109" spans="1:14" x14ac:dyDescent="0.35">
      <c r="A109" s="2" t="s">
        <v>6</v>
      </c>
      <c r="B109" s="3">
        <v>7.9000000000000001E-2</v>
      </c>
      <c r="C109" s="3">
        <v>8.4000000000000005E-2</v>
      </c>
      <c r="D109" s="3">
        <v>7.5999999999999998E-2</v>
      </c>
      <c r="E109" s="3">
        <v>4.9000000000000002E-2</v>
      </c>
      <c r="F109" s="3">
        <v>4.9000000000000002E-2</v>
      </c>
      <c r="G109" s="3">
        <v>4.8000000000000001E-2</v>
      </c>
      <c r="H109" s="3">
        <v>0.216</v>
      </c>
      <c r="I109" s="3">
        <v>0.24199999999999999</v>
      </c>
      <c r="J109" s="3">
        <v>0.22900000000000001</v>
      </c>
      <c r="K109" s="3">
        <v>4.7E-2</v>
      </c>
      <c r="L109" s="3">
        <v>4.7E-2</v>
      </c>
      <c r="M109" s="3">
        <v>4.7E-2</v>
      </c>
      <c r="N109" s="18">
        <v>562</v>
      </c>
    </row>
    <row r="110" spans="1:14" x14ac:dyDescent="0.35">
      <c r="A110" s="2" t="s">
        <v>7</v>
      </c>
      <c r="B110" s="3">
        <v>4.2999999999999997E-2</v>
      </c>
      <c r="C110" s="3">
        <v>4.4999999999999998E-2</v>
      </c>
      <c r="D110" s="3">
        <v>4.5999999999999999E-2</v>
      </c>
      <c r="E110" s="3">
        <v>6.4000000000000001E-2</v>
      </c>
      <c r="F110" s="3">
        <v>6.3E-2</v>
      </c>
      <c r="G110" s="3">
        <v>6.3E-2</v>
      </c>
      <c r="H110" s="3">
        <v>7.8E-2</v>
      </c>
      <c r="I110" s="3">
        <v>7.6999999999999999E-2</v>
      </c>
      <c r="J110" s="3">
        <v>6.6000000000000003E-2</v>
      </c>
      <c r="K110" s="3">
        <v>4.7E-2</v>
      </c>
      <c r="L110" s="3">
        <v>4.7E-2</v>
      </c>
      <c r="M110" s="3">
        <v>4.5999999999999999E-2</v>
      </c>
      <c r="N110" s="18">
        <v>562</v>
      </c>
    </row>
    <row r="111" spans="1:14" x14ac:dyDescent="0.35">
      <c r="A111" s="2" t="s">
        <v>8</v>
      </c>
      <c r="B111" s="3">
        <v>3.7999999999999999E-2</v>
      </c>
      <c r="C111" s="3">
        <v>3.7999999999999999E-2</v>
      </c>
      <c r="D111" s="3">
        <v>3.7999999999999999E-2</v>
      </c>
      <c r="E111" s="3">
        <v>5.3999999999999999E-2</v>
      </c>
      <c r="F111" s="3">
        <v>5.2999999999999999E-2</v>
      </c>
      <c r="G111" s="3">
        <v>5.2999999999999999E-2</v>
      </c>
      <c r="H111" s="3">
        <v>4.5999999999999999E-2</v>
      </c>
      <c r="I111" s="3">
        <v>4.7E-2</v>
      </c>
      <c r="J111" s="3">
        <v>4.8000000000000001E-2</v>
      </c>
      <c r="K111" s="3">
        <v>4.5999999999999999E-2</v>
      </c>
      <c r="L111" s="3">
        <v>4.7E-2</v>
      </c>
      <c r="M111" s="3">
        <v>4.5999999999999999E-2</v>
      </c>
      <c r="N111" s="18">
        <v>562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63F6-0226-449F-9102-3C6079D9286A}">
  <sheetPr codeName="Sheet4"/>
  <dimension ref="A1:M49"/>
  <sheetViews>
    <sheetView topLeftCell="A16" workbookViewId="0">
      <selection activeCell="E29" sqref="E29:G29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0.16200000000000001</v>
      </c>
      <c r="C2" s="3">
        <v>0.17399999999999999</v>
      </c>
      <c r="D2" s="3">
        <v>0.16</v>
      </c>
      <c r="E2" s="3">
        <v>0.25900000000000001</v>
      </c>
      <c r="F2" s="3">
        <v>0.27600000000000002</v>
      </c>
      <c r="G2" s="3" t="s">
        <v>25</v>
      </c>
      <c r="H2" s="3">
        <v>3.9E-2</v>
      </c>
      <c r="I2" s="3">
        <v>3.7999999999999999E-2</v>
      </c>
      <c r="J2" s="3">
        <v>3.9E-2</v>
      </c>
      <c r="K2" s="3">
        <v>3.9E-2</v>
      </c>
      <c r="L2" s="3">
        <v>3.9E-2</v>
      </c>
      <c r="M2" s="3">
        <v>3.9E-2</v>
      </c>
    </row>
    <row r="3" spans="1:13" x14ac:dyDescent="0.35">
      <c r="A3" s="2" t="s">
        <v>2</v>
      </c>
      <c r="B3" s="3">
        <v>0.13700000000000001</v>
      </c>
      <c r="C3" s="3">
        <v>0.151</v>
      </c>
      <c r="D3" s="3">
        <v>0.11700000000000001</v>
      </c>
      <c r="E3" s="3">
        <v>0.50900000000000001</v>
      </c>
      <c r="F3" s="3">
        <v>0.53</v>
      </c>
      <c r="G3" s="3" t="s">
        <v>25</v>
      </c>
      <c r="H3" s="3">
        <v>3.9E-2</v>
      </c>
      <c r="I3" s="3">
        <v>0.04</v>
      </c>
      <c r="J3" s="3">
        <v>3.7999999999999999E-2</v>
      </c>
      <c r="K3" s="3">
        <v>4.1000000000000002E-2</v>
      </c>
      <c r="L3" s="3">
        <v>4.2000000000000003E-2</v>
      </c>
      <c r="M3" s="3">
        <v>0.04</v>
      </c>
    </row>
    <row r="4" spans="1:13" x14ac:dyDescent="0.35">
      <c r="A4" s="2" t="s">
        <v>3</v>
      </c>
      <c r="B4" s="3" t="s">
        <v>25</v>
      </c>
      <c r="C4" s="3">
        <v>9.4E-2</v>
      </c>
      <c r="D4" s="3">
        <v>9.1999999999999998E-2</v>
      </c>
      <c r="E4" s="3">
        <v>0.82099999999999995</v>
      </c>
      <c r="F4" s="3" t="s">
        <v>25</v>
      </c>
      <c r="G4" s="3">
        <v>0.77700000000000002</v>
      </c>
      <c r="H4" s="3">
        <v>3.7999999999999999E-2</v>
      </c>
      <c r="I4" s="3">
        <v>3.7999999999999999E-2</v>
      </c>
      <c r="J4" s="3">
        <v>3.6999999999999998E-2</v>
      </c>
      <c r="K4" s="3">
        <v>4.2000000000000003E-2</v>
      </c>
      <c r="L4" s="3">
        <v>4.2000000000000003E-2</v>
      </c>
      <c r="M4" s="3">
        <v>4.2999999999999997E-2</v>
      </c>
    </row>
    <row r="5" spans="1:13" x14ac:dyDescent="0.35">
      <c r="A5" s="2" t="s">
        <v>4</v>
      </c>
      <c r="B5" s="3">
        <v>7.3999999999999996E-2</v>
      </c>
      <c r="C5" s="3">
        <v>7.4999999999999997E-2</v>
      </c>
      <c r="D5" s="3">
        <v>7.1999999999999995E-2</v>
      </c>
      <c r="E5" s="3">
        <v>4.7E-2</v>
      </c>
      <c r="F5" s="3">
        <v>4.7E-2</v>
      </c>
      <c r="G5" s="3">
        <v>4.8000000000000001E-2</v>
      </c>
      <c r="H5" s="3">
        <v>3.6999999999999998E-2</v>
      </c>
      <c r="I5" s="3">
        <v>3.7999999999999999E-2</v>
      </c>
      <c r="J5" s="3">
        <v>3.7999999999999999E-2</v>
      </c>
      <c r="K5" s="3">
        <v>4.7E-2</v>
      </c>
      <c r="L5" s="3">
        <v>4.8000000000000001E-2</v>
      </c>
      <c r="M5" s="3">
        <v>4.7E-2</v>
      </c>
    </row>
    <row r="6" spans="1:13" x14ac:dyDescent="0.35">
      <c r="A6" s="2" t="s">
        <v>5</v>
      </c>
      <c r="B6" s="3">
        <v>5.5E-2</v>
      </c>
      <c r="C6" s="3">
        <v>5.8000000000000003E-2</v>
      </c>
      <c r="D6" s="3">
        <v>5.3999999999999999E-2</v>
      </c>
      <c r="E6" s="3">
        <v>4.7E-2</v>
      </c>
      <c r="F6" s="3">
        <v>4.7E-2</v>
      </c>
      <c r="G6" s="3">
        <v>4.7E-2</v>
      </c>
      <c r="H6" s="3">
        <v>3.7999999999999999E-2</v>
      </c>
      <c r="I6" s="3">
        <v>3.7999999999999999E-2</v>
      </c>
      <c r="J6" s="3">
        <v>3.6999999999999998E-2</v>
      </c>
      <c r="K6" s="3">
        <v>4.7E-2</v>
      </c>
      <c r="L6" s="3">
        <v>4.8000000000000001E-2</v>
      </c>
      <c r="M6" s="3">
        <v>4.7E-2</v>
      </c>
    </row>
    <row r="7" spans="1:13" x14ac:dyDescent="0.35">
      <c r="A7" s="2" t="s">
        <v>6</v>
      </c>
      <c r="B7" s="3">
        <v>0.05</v>
      </c>
      <c r="C7" s="3">
        <v>4.9000000000000002E-2</v>
      </c>
      <c r="D7" s="3">
        <v>4.7E-2</v>
      </c>
      <c r="E7" s="3">
        <v>4.7E-2</v>
      </c>
      <c r="F7" s="3">
        <v>4.7E-2</v>
      </c>
      <c r="G7" s="3">
        <v>4.7E-2</v>
      </c>
      <c r="H7" s="3">
        <v>3.6999999999999998E-2</v>
      </c>
      <c r="I7" s="3">
        <v>3.6999999999999998E-2</v>
      </c>
      <c r="J7" s="3">
        <v>3.7999999999999999E-2</v>
      </c>
      <c r="K7" s="3">
        <v>4.7E-2</v>
      </c>
      <c r="L7" s="3">
        <v>4.7E-2</v>
      </c>
      <c r="M7" s="3">
        <v>4.8000000000000001E-2</v>
      </c>
    </row>
    <row r="8" spans="1:13" x14ac:dyDescent="0.35">
      <c r="A8" s="2" t="s">
        <v>7</v>
      </c>
      <c r="B8" s="3">
        <v>4.2999999999999997E-2</v>
      </c>
      <c r="C8" s="3">
        <v>4.2999999999999997E-2</v>
      </c>
      <c r="D8" s="3" t="s">
        <v>25</v>
      </c>
      <c r="E8" s="3">
        <v>3.7999999999999999E-2</v>
      </c>
      <c r="F8" s="3">
        <v>4.1000000000000002E-2</v>
      </c>
      <c r="G8" s="3">
        <v>3.7999999999999999E-2</v>
      </c>
      <c r="H8" s="3">
        <v>4.1000000000000002E-2</v>
      </c>
      <c r="I8" s="3">
        <v>3.6999999999999998E-2</v>
      </c>
      <c r="J8" s="3">
        <v>3.6999999999999998E-2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3.6999999999999998E-2</v>
      </c>
      <c r="D9" s="3">
        <v>3.9E-2</v>
      </c>
      <c r="E9" s="3">
        <v>3.7999999999999999E-2</v>
      </c>
      <c r="F9" s="3">
        <v>3.7999999999999999E-2</v>
      </c>
      <c r="G9" s="3">
        <v>3.7999999999999999E-2</v>
      </c>
      <c r="H9" s="3">
        <v>3.7999999999999999E-2</v>
      </c>
      <c r="I9" s="3">
        <v>3.7999999999999999E-2</v>
      </c>
      <c r="J9" s="3">
        <v>3.7999999999999999E-2</v>
      </c>
      <c r="K9" s="3">
        <v>3.7999999999999999E-2</v>
      </c>
      <c r="L9" s="3">
        <v>3.7999999999999999E-2</v>
      </c>
      <c r="M9" s="3">
        <v>3.7999999999999999E-2</v>
      </c>
    </row>
    <row r="11" spans="1:13" x14ac:dyDescent="0.3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0.27900000000000003</v>
      </c>
      <c r="C12" s="3">
        <v>0.29399999999999998</v>
      </c>
      <c r="D12" s="3">
        <v>0.29299999999999998</v>
      </c>
      <c r="E12" s="3">
        <v>0.45600000000000002</v>
      </c>
      <c r="F12" s="3">
        <v>0.44600000000000001</v>
      </c>
      <c r="G12" s="3">
        <v>0.33400000000000002</v>
      </c>
      <c r="H12" s="3">
        <v>0.16900000000000001</v>
      </c>
      <c r="I12" s="3">
        <v>0.16800000000000001</v>
      </c>
      <c r="J12" s="3">
        <v>0.158</v>
      </c>
      <c r="K12" s="3">
        <v>0.25</v>
      </c>
      <c r="L12" s="3">
        <v>0.19900000000000001</v>
      </c>
      <c r="M12" s="3">
        <v>0.27800000000000002</v>
      </c>
    </row>
    <row r="13" spans="1:13" x14ac:dyDescent="0.35">
      <c r="A13" s="2" t="s">
        <v>2</v>
      </c>
      <c r="B13" s="3">
        <v>0.19900000000000001</v>
      </c>
      <c r="C13" s="3">
        <v>0.27800000000000002</v>
      </c>
      <c r="D13" s="3">
        <v>0.17799999999999999</v>
      </c>
      <c r="E13" s="3">
        <v>0.70499999999999996</v>
      </c>
      <c r="F13" s="3">
        <v>0.63300000000000001</v>
      </c>
      <c r="G13" s="3">
        <v>0.70099999999999996</v>
      </c>
      <c r="H13" s="3">
        <v>0.13600000000000001</v>
      </c>
      <c r="I13" s="3">
        <v>0.14699999999999999</v>
      </c>
      <c r="J13" s="3">
        <v>0.115</v>
      </c>
      <c r="K13" s="3">
        <v>0.22900000000000001</v>
      </c>
      <c r="L13" s="3">
        <v>0.32900000000000001</v>
      </c>
      <c r="M13" s="3">
        <v>0.35699999999999998</v>
      </c>
    </row>
    <row r="14" spans="1:13" x14ac:dyDescent="0.35">
      <c r="A14" s="2" t="s">
        <v>3</v>
      </c>
      <c r="B14" s="3" t="s">
        <v>25</v>
      </c>
      <c r="C14" s="3">
        <v>0.14299999999999999</v>
      </c>
      <c r="D14" s="3">
        <v>0.16400000000000001</v>
      </c>
      <c r="E14" s="3">
        <v>0.84199999999999997</v>
      </c>
      <c r="F14" s="3">
        <v>0.98399999999999999</v>
      </c>
      <c r="G14" s="3">
        <v>0.89800000000000002</v>
      </c>
      <c r="H14" s="3">
        <v>0.11</v>
      </c>
      <c r="I14" s="3">
        <v>9.2999999999999999E-2</v>
      </c>
      <c r="J14" s="3">
        <v>0.115</v>
      </c>
      <c r="K14" s="3">
        <v>0.27700000000000002</v>
      </c>
      <c r="L14" s="3">
        <v>0.35599999999999998</v>
      </c>
      <c r="M14" s="3">
        <v>0.24399999999999999</v>
      </c>
    </row>
    <row r="15" spans="1:13" x14ac:dyDescent="0.35">
      <c r="A15" s="2" t="s">
        <v>4</v>
      </c>
      <c r="B15" s="3">
        <v>0.106</v>
      </c>
      <c r="C15" s="3">
        <v>0.12</v>
      </c>
      <c r="D15" s="3">
        <v>0.105</v>
      </c>
      <c r="E15" s="3">
        <v>4.7E-2</v>
      </c>
      <c r="F15" s="3">
        <v>4.7E-2</v>
      </c>
      <c r="G15" s="3">
        <v>4.8000000000000001E-2</v>
      </c>
      <c r="H15" s="3">
        <v>7.1999999999999995E-2</v>
      </c>
      <c r="I15" s="3">
        <v>8.4000000000000005E-2</v>
      </c>
      <c r="J15" s="3">
        <v>7.9000000000000001E-2</v>
      </c>
      <c r="K15" s="3">
        <v>4.8000000000000001E-2</v>
      </c>
      <c r="L15" s="3">
        <v>4.8000000000000001E-2</v>
      </c>
      <c r="M15" s="3">
        <v>4.7E-2</v>
      </c>
    </row>
    <row r="16" spans="1:13" x14ac:dyDescent="0.35">
      <c r="A16" s="2" t="s">
        <v>5</v>
      </c>
      <c r="B16" s="3">
        <v>7.0999999999999994E-2</v>
      </c>
      <c r="C16" s="3">
        <v>8.3000000000000004E-2</v>
      </c>
      <c r="D16" s="3">
        <v>7.1999999999999995E-2</v>
      </c>
      <c r="E16" s="3">
        <v>4.7E-2</v>
      </c>
      <c r="F16" s="3">
        <v>4.7E-2</v>
      </c>
      <c r="G16" s="3">
        <v>4.7E-2</v>
      </c>
      <c r="H16" s="3">
        <v>6.3E-2</v>
      </c>
      <c r="I16" s="3">
        <v>6.0999999999999999E-2</v>
      </c>
      <c r="J16" s="3">
        <v>5.3999999999999999E-2</v>
      </c>
      <c r="K16" s="3">
        <v>4.7E-2</v>
      </c>
      <c r="L16" s="3">
        <v>4.8000000000000001E-2</v>
      </c>
      <c r="M16" s="3">
        <v>4.7E-2</v>
      </c>
    </row>
    <row r="17" spans="1:13" x14ac:dyDescent="0.35">
      <c r="A17" s="2" t="s">
        <v>6</v>
      </c>
      <c r="B17" s="3">
        <v>6.7000000000000004E-2</v>
      </c>
      <c r="C17" s="3">
        <v>6.0999999999999999E-2</v>
      </c>
      <c r="D17" s="3">
        <v>6.2E-2</v>
      </c>
      <c r="E17" s="3">
        <v>4.7E-2</v>
      </c>
      <c r="F17" s="3">
        <v>4.7E-2</v>
      </c>
      <c r="G17" s="3">
        <v>4.7E-2</v>
      </c>
      <c r="H17" s="3">
        <v>5.8000000000000003E-2</v>
      </c>
      <c r="I17" s="3">
        <v>5.8999999999999997E-2</v>
      </c>
      <c r="J17" s="3">
        <v>5.7000000000000002E-2</v>
      </c>
      <c r="K17" s="3">
        <v>4.7E-2</v>
      </c>
      <c r="L17" s="3">
        <v>4.7E-2</v>
      </c>
      <c r="M17" s="3">
        <v>4.8000000000000001E-2</v>
      </c>
    </row>
    <row r="18" spans="1:13" x14ac:dyDescent="0.35">
      <c r="A18" s="2" t="s">
        <v>7</v>
      </c>
      <c r="B18" s="3">
        <v>0.05</v>
      </c>
      <c r="C18" s="3">
        <v>5.0999999999999997E-2</v>
      </c>
      <c r="D18" s="3">
        <v>5.5E-2</v>
      </c>
      <c r="E18" s="3">
        <v>0.04</v>
      </c>
      <c r="F18" s="3">
        <v>0.04</v>
      </c>
      <c r="G18" s="3">
        <v>0.04</v>
      </c>
      <c r="H18" s="3">
        <v>4.8000000000000001E-2</v>
      </c>
      <c r="I18" s="3">
        <v>4.4999999999999998E-2</v>
      </c>
      <c r="J18" s="3">
        <v>4.2999999999999997E-2</v>
      </c>
      <c r="K18" s="3">
        <v>4.7E-2</v>
      </c>
      <c r="L18" s="3">
        <v>4.7E-2</v>
      </c>
      <c r="M18" s="3">
        <v>4.7E-2</v>
      </c>
    </row>
    <row r="19" spans="1:13" x14ac:dyDescent="0.35">
      <c r="A19" s="2" t="s">
        <v>8</v>
      </c>
      <c r="B19" s="3">
        <v>3.6999999999999998E-2</v>
      </c>
      <c r="C19" s="3">
        <v>3.6999999999999998E-2</v>
      </c>
      <c r="D19" s="3">
        <v>3.9E-2</v>
      </c>
      <c r="E19" s="3">
        <v>3.9E-2</v>
      </c>
      <c r="F19" s="3">
        <v>3.7999999999999999E-2</v>
      </c>
      <c r="G19" s="3">
        <v>3.7999999999999999E-2</v>
      </c>
      <c r="H19" s="3">
        <v>3.9E-2</v>
      </c>
      <c r="I19" s="3">
        <v>0.04</v>
      </c>
      <c r="J19" s="3">
        <v>0.04</v>
      </c>
      <c r="K19" s="3">
        <v>3.7999999999999999E-2</v>
      </c>
      <c r="L19" s="3">
        <v>3.9E-2</v>
      </c>
      <c r="M19" s="3">
        <v>3.7999999999999999E-2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35">
      <c r="A22" s="5" t="s">
        <v>1</v>
      </c>
      <c r="B22" s="6" t="s">
        <v>122</v>
      </c>
      <c r="C22" s="6" t="s">
        <v>122</v>
      </c>
      <c r="D22" s="6" t="s">
        <v>122</v>
      </c>
      <c r="E22" s="7" t="s">
        <v>129</v>
      </c>
      <c r="F22" s="7" t="s">
        <v>129</v>
      </c>
      <c r="G22" s="7" t="s">
        <v>129</v>
      </c>
      <c r="H22" s="7" t="s">
        <v>134</v>
      </c>
      <c r="I22" s="7" t="s">
        <v>134</v>
      </c>
      <c r="J22" s="7" t="s">
        <v>134</v>
      </c>
      <c r="K22" s="7" t="s">
        <v>142</v>
      </c>
      <c r="L22" s="7" t="s">
        <v>142</v>
      </c>
      <c r="M22" s="7" t="s">
        <v>142</v>
      </c>
    </row>
    <row r="23" spans="1:13" x14ac:dyDescent="0.35">
      <c r="A23" s="5" t="s">
        <v>2</v>
      </c>
      <c r="B23" s="8" t="s">
        <v>123</v>
      </c>
      <c r="C23" s="9" t="s">
        <v>123</v>
      </c>
      <c r="D23" s="9" t="s">
        <v>123</v>
      </c>
      <c r="E23" s="7" t="s">
        <v>130</v>
      </c>
      <c r="F23" s="7" t="s">
        <v>130</v>
      </c>
      <c r="G23" s="7" t="s">
        <v>130</v>
      </c>
      <c r="H23" s="10" t="s">
        <v>135</v>
      </c>
      <c r="I23" s="11" t="s">
        <v>135</v>
      </c>
      <c r="J23" t="s">
        <v>135</v>
      </c>
      <c r="K23" s="7" t="s">
        <v>143</v>
      </c>
      <c r="L23" s="7" t="s">
        <v>143</v>
      </c>
      <c r="M23" s="7" t="s">
        <v>143</v>
      </c>
    </row>
    <row r="24" spans="1:13" x14ac:dyDescent="0.35">
      <c r="A24" s="5" t="s">
        <v>3</v>
      </c>
      <c r="B24" s="6" t="s">
        <v>124</v>
      </c>
      <c r="C24" s="6" t="s">
        <v>124</v>
      </c>
      <c r="D24" s="6" t="s">
        <v>124</v>
      </c>
      <c r="E24" s="7" t="s">
        <v>131</v>
      </c>
      <c r="F24" s="7" t="s">
        <v>131</v>
      </c>
      <c r="G24" s="7" t="s">
        <v>131</v>
      </c>
      <c r="H24" s="7" t="s">
        <v>136</v>
      </c>
      <c r="I24" s="7" t="s">
        <v>136</v>
      </c>
      <c r="J24" s="7" t="s">
        <v>136</v>
      </c>
      <c r="K24" s="7" t="s">
        <v>144</v>
      </c>
      <c r="L24" s="7" t="s">
        <v>144</v>
      </c>
      <c r="M24" s="7" t="s">
        <v>144</v>
      </c>
    </row>
    <row r="25" spans="1:13" x14ac:dyDescent="0.35">
      <c r="A25" s="5" t="s">
        <v>4</v>
      </c>
      <c r="B25" s="6" t="s">
        <v>125</v>
      </c>
      <c r="C25" s="6" t="s">
        <v>125</v>
      </c>
      <c r="D25" s="6" t="s">
        <v>125</v>
      </c>
      <c r="E25" s="7" t="s">
        <v>25</v>
      </c>
      <c r="F25" s="7" t="s">
        <v>25</v>
      </c>
      <c r="G25" s="7" t="s">
        <v>25</v>
      </c>
      <c r="H25" s="7" t="s">
        <v>137</v>
      </c>
      <c r="I25" s="7" t="s">
        <v>137</v>
      </c>
      <c r="J25" s="7" t="s">
        <v>137</v>
      </c>
      <c r="K25" s="7" t="s">
        <v>25</v>
      </c>
      <c r="L25" s="7" t="s">
        <v>25</v>
      </c>
      <c r="M25" s="7" t="s">
        <v>25</v>
      </c>
    </row>
    <row r="26" spans="1:13" x14ac:dyDescent="0.35">
      <c r="A26" s="5" t="s">
        <v>5</v>
      </c>
      <c r="B26" s="6" t="s">
        <v>126</v>
      </c>
      <c r="C26" s="6" t="s">
        <v>126</v>
      </c>
      <c r="D26" s="6" t="s">
        <v>126</v>
      </c>
      <c r="E26" s="7" t="s">
        <v>25</v>
      </c>
      <c r="F26" s="7" t="s">
        <v>25</v>
      </c>
      <c r="G26" s="7" t="s">
        <v>25</v>
      </c>
      <c r="H26" s="7" t="s">
        <v>138</v>
      </c>
      <c r="I26" s="7" t="s">
        <v>138</v>
      </c>
      <c r="J26" s="7" t="s">
        <v>138</v>
      </c>
      <c r="K26" s="7" t="s">
        <v>25</v>
      </c>
      <c r="L26" s="7" t="s">
        <v>25</v>
      </c>
      <c r="M26" s="7" t="s">
        <v>25</v>
      </c>
    </row>
    <row r="27" spans="1:13" x14ac:dyDescent="0.35">
      <c r="A27" s="5" t="s">
        <v>6</v>
      </c>
      <c r="B27" s="6" t="s">
        <v>127</v>
      </c>
      <c r="C27" s="6" t="s">
        <v>127</v>
      </c>
      <c r="D27" s="6" t="s">
        <v>127</v>
      </c>
      <c r="E27" s="7" t="s">
        <v>25</v>
      </c>
      <c r="F27" s="7" t="s">
        <v>25</v>
      </c>
      <c r="G27" s="7" t="s">
        <v>25</v>
      </c>
      <c r="H27" s="7" t="s">
        <v>139</v>
      </c>
      <c r="I27" s="7" t="s">
        <v>139</v>
      </c>
      <c r="J27" s="7" t="s">
        <v>139</v>
      </c>
      <c r="K27" s="7" t="s">
        <v>25</v>
      </c>
      <c r="L27" s="7" t="s">
        <v>25</v>
      </c>
      <c r="M27" s="7" t="s">
        <v>25</v>
      </c>
    </row>
    <row r="28" spans="1:13" x14ac:dyDescent="0.35">
      <c r="A28" s="5" t="s">
        <v>7</v>
      </c>
      <c r="B28" s="6" t="s">
        <v>128</v>
      </c>
      <c r="C28" s="6" t="s">
        <v>128</v>
      </c>
      <c r="D28" s="6" t="s">
        <v>128</v>
      </c>
      <c r="E28" s="6" t="s">
        <v>132</v>
      </c>
      <c r="F28" s="6" t="s">
        <v>132</v>
      </c>
      <c r="G28" s="6" t="s">
        <v>132</v>
      </c>
      <c r="H28" s="7" t="s">
        <v>140</v>
      </c>
      <c r="I28" s="7" t="s">
        <v>140</v>
      </c>
      <c r="J28" s="7" t="s">
        <v>140</v>
      </c>
      <c r="K28" s="7" t="s">
        <v>25</v>
      </c>
      <c r="L28" s="7" t="s">
        <v>25</v>
      </c>
      <c r="M28" s="7" t="s">
        <v>25</v>
      </c>
    </row>
    <row r="29" spans="1:13" x14ac:dyDescent="0.35">
      <c r="A29" s="5" t="s">
        <v>8</v>
      </c>
      <c r="B29" s="26" t="s">
        <v>25</v>
      </c>
      <c r="C29" s="26" t="s">
        <v>25</v>
      </c>
      <c r="D29" s="26" t="s">
        <v>25</v>
      </c>
      <c r="E29" s="7" t="s">
        <v>133</v>
      </c>
      <c r="F29" s="7" t="s">
        <v>133</v>
      </c>
      <c r="G29" s="7" t="s">
        <v>133</v>
      </c>
      <c r="H29" s="7" t="s">
        <v>141</v>
      </c>
      <c r="I29" s="7" t="s">
        <v>141</v>
      </c>
      <c r="J29" s="7" t="s">
        <v>141</v>
      </c>
      <c r="K29" s="7" t="s">
        <v>133</v>
      </c>
      <c r="L29" s="7" t="s">
        <v>133</v>
      </c>
      <c r="M29" s="7" t="s">
        <v>133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  <row r="41" spans="1:13" x14ac:dyDescent="0.35">
      <c r="A41" s="4" t="s">
        <v>12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</row>
    <row r="42" spans="1:13" x14ac:dyDescent="0.35">
      <c r="A42" s="5" t="s">
        <v>1</v>
      </c>
      <c r="B42" s="6">
        <v>60</v>
      </c>
      <c r="C42" s="6">
        <v>60</v>
      </c>
      <c r="D42" s="6">
        <v>60</v>
      </c>
      <c r="E42" s="7">
        <v>100</v>
      </c>
      <c r="F42" s="7">
        <v>100</v>
      </c>
      <c r="G42" s="7">
        <v>100</v>
      </c>
      <c r="H42" s="6">
        <v>60</v>
      </c>
      <c r="I42" s="6">
        <v>60</v>
      </c>
      <c r="J42" s="6">
        <v>60</v>
      </c>
      <c r="K42" s="7">
        <v>100</v>
      </c>
      <c r="L42" s="7">
        <v>100</v>
      </c>
      <c r="M42" s="7">
        <v>100</v>
      </c>
    </row>
    <row r="43" spans="1:13" x14ac:dyDescent="0.35">
      <c r="A43" s="5" t="s">
        <v>2</v>
      </c>
      <c r="B43" s="9">
        <v>45</v>
      </c>
      <c r="C43" s="9">
        <v>45</v>
      </c>
      <c r="D43" s="9">
        <v>45</v>
      </c>
      <c r="E43" s="7">
        <v>250</v>
      </c>
      <c r="F43" s="7">
        <v>250</v>
      </c>
      <c r="G43" s="7">
        <v>250</v>
      </c>
      <c r="H43" s="9">
        <v>45</v>
      </c>
      <c r="I43" s="9">
        <v>45</v>
      </c>
      <c r="J43" s="9">
        <v>45</v>
      </c>
      <c r="K43" s="7">
        <v>250</v>
      </c>
      <c r="L43" s="7">
        <v>250</v>
      </c>
      <c r="M43" s="7">
        <v>250</v>
      </c>
    </row>
    <row r="44" spans="1:13" x14ac:dyDescent="0.35">
      <c r="A44" s="5" t="s">
        <v>3</v>
      </c>
      <c r="B44" s="6">
        <v>30</v>
      </c>
      <c r="C44" s="6">
        <v>30</v>
      </c>
      <c r="D44" s="6">
        <v>30</v>
      </c>
      <c r="E44" s="7">
        <v>500</v>
      </c>
      <c r="F44" s="7">
        <v>500</v>
      </c>
      <c r="G44" s="7">
        <v>500</v>
      </c>
      <c r="H44" s="6">
        <v>30</v>
      </c>
      <c r="I44" s="6">
        <v>30</v>
      </c>
      <c r="J44" s="6">
        <v>30</v>
      </c>
      <c r="K44" s="7">
        <v>500</v>
      </c>
      <c r="L44" s="7">
        <v>500</v>
      </c>
      <c r="M44" s="7">
        <v>500</v>
      </c>
    </row>
    <row r="45" spans="1:13" x14ac:dyDescent="0.35">
      <c r="A45" s="5" t="s">
        <v>4</v>
      </c>
      <c r="B45" s="6">
        <v>18</v>
      </c>
      <c r="C45" s="6">
        <v>18</v>
      </c>
      <c r="D45" s="6">
        <v>18</v>
      </c>
      <c r="E45" s="7"/>
      <c r="F45" s="7"/>
      <c r="G45" s="7"/>
      <c r="H45" s="6">
        <v>18</v>
      </c>
      <c r="I45" s="6">
        <v>18</v>
      </c>
      <c r="J45" s="6">
        <v>18</v>
      </c>
      <c r="K45" s="7"/>
      <c r="L45" s="7"/>
      <c r="M45" s="7"/>
    </row>
    <row r="46" spans="1:13" x14ac:dyDescent="0.35">
      <c r="A46" s="5" t="s">
        <v>5</v>
      </c>
      <c r="B46" s="6">
        <v>9</v>
      </c>
      <c r="C46" s="6">
        <v>9</v>
      </c>
      <c r="D46" s="6">
        <v>9</v>
      </c>
      <c r="E46" s="7"/>
      <c r="F46" s="7"/>
      <c r="G46" s="7"/>
      <c r="H46" s="6">
        <v>9</v>
      </c>
      <c r="I46" s="6">
        <v>9</v>
      </c>
      <c r="J46" s="6">
        <v>9</v>
      </c>
      <c r="K46" s="7"/>
      <c r="L46" s="7"/>
      <c r="M46" s="7"/>
    </row>
    <row r="47" spans="1:13" x14ac:dyDescent="0.35">
      <c r="A47" s="5" t="s">
        <v>6</v>
      </c>
      <c r="B47" s="6">
        <v>6</v>
      </c>
      <c r="C47" s="6">
        <v>6</v>
      </c>
      <c r="D47" s="6">
        <v>6</v>
      </c>
      <c r="E47" s="7"/>
      <c r="F47" s="7"/>
      <c r="G47" s="7"/>
      <c r="H47" s="6">
        <v>6</v>
      </c>
      <c r="I47" s="6">
        <v>6</v>
      </c>
      <c r="J47" s="6">
        <v>6</v>
      </c>
      <c r="K47" s="7"/>
      <c r="L47" s="7"/>
      <c r="M47" s="7"/>
    </row>
    <row r="48" spans="1:13" x14ac:dyDescent="0.35">
      <c r="A48" s="5" t="s">
        <v>7</v>
      </c>
      <c r="B48" s="6">
        <v>3</v>
      </c>
      <c r="C48" s="6">
        <v>3</v>
      </c>
      <c r="D48" s="6">
        <v>3</v>
      </c>
      <c r="E48" s="6">
        <v>0.6</v>
      </c>
      <c r="F48" s="6">
        <v>0.6</v>
      </c>
      <c r="G48" s="6">
        <v>0.6</v>
      </c>
      <c r="H48" s="6">
        <v>3</v>
      </c>
      <c r="I48" s="6">
        <v>3</v>
      </c>
      <c r="J48" s="6">
        <v>3</v>
      </c>
      <c r="K48" s="7"/>
      <c r="L48" s="7"/>
      <c r="M48" s="7"/>
    </row>
    <row r="49" spans="1:13" ht="17.25" customHeight="1" x14ac:dyDescent="0.35">
      <c r="A49" s="5" t="s">
        <v>8</v>
      </c>
      <c r="E49" s="7">
        <v>0</v>
      </c>
      <c r="F49" s="7">
        <v>0</v>
      </c>
      <c r="G49" s="7">
        <v>0</v>
      </c>
      <c r="H49" s="6">
        <v>0.6</v>
      </c>
      <c r="I49" s="6">
        <v>0.6</v>
      </c>
      <c r="J49" s="6">
        <v>0.6</v>
      </c>
      <c r="K49" s="7">
        <v>0</v>
      </c>
      <c r="L49" s="7">
        <v>0</v>
      </c>
      <c r="M49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98EC-7EC9-405D-B1FA-23EEEECB0E3C}">
  <sheetPr codeName="Sheet5"/>
  <dimension ref="A1:M39"/>
  <sheetViews>
    <sheetView topLeftCell="A19" workbookViewId="0">
      <selection activeCell="B26" sqref="B26:D26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44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0.17199999999999999</v>
      </c>
      <c r="C2" s="3">
        <v>0.16800000000000001</v>
      </c>
      <c r="D2" s="3">
        <v>0.17299999999999999</v>
      </c>
      <c r="E2" s="3">
        <v>0.14199999999999999</v>
      </c>
      <c r="F2" s="3">
        <v>0.14699999999999999</v>
      </c>
      <c r="G2" s="3">
        <v>0.14099999999999999</v>
      </c>
      <c r="H2" s="3">
        <v>4.8000000000000001E-2</v>
      </c>
      <c r="I2" s="3">
        <v>5.2999999999999999E-2</v>
      </c>
      <c r="J2" s="3">
        <v>4.5999999999999999E-2</v>
      </c>
      <c r="K2" s="3">
        <v>4.5999999999999999E-2</v>
      </c>
      <c r="L2" s="3">
        <v>4.4999999999999998E-2</v>
      </c>
      <c r="M2" s="3">
        <v>4.4999999999999998E-2</v>
      </c>
    </row>
    <row r="3" spans="1:13" x14ac:dyDescent="0.35">
      <c r="A3" s="2" t="s">
        <v>2</v>
      </c>
      <c r="B3" s="3">
        <v>8.1000000000000003E-2</v>
      </c>
      <c r="C3" s="3">
        <v>0.08</v>
      </c>
      <c r="D3" s="3">
        <v>7.4999999999999997E-2</v>
      </c>
      <c r="E3" s="3">
        <v>4.3999999999999997E-2</v>
      </c>
      <c r="F3" s="3">
        <v>4.3999999999999997E-2</v>
      </c>
      <c r="G3" s="3">
        <v>4.3999999999999997E-2</v>
      </c>
      <c r="H3" s="3">
        <v>5.6000000000000001E-2</v>
      </c>
      <c r="I3" s="3">
        <v>5.2999999999999999E-2</v>
      </c>
      <c r="J3" s="3">
        <v>5.5E-2</v>
      </c>
      <c r="K3" s="3">
        <v>5.1999999999999998E-2</v>
      </c>
      <c r="L3" s="3">
        <v>5.0999999999999997E-2</v>
      </c>
      <c r="M3" s="3">
        <v>5.0999999999999997E-2</v>
      </c>
    </row>
    <row r="4" spans="1:13" x14ac:dyDescent="0.35">
      <c r="A4" s="2" t="s">
        <v>3</v>
      </c>
      <c r="B4" s="3">
        <v>4.2999999999999997E-2</v>
      </c>
      <c r="C4" s="3">
        <v>4.4999999999999998E-2</v>
      </c>
      <c r="D4" s="3">
        <v>4.2999999999999997E-2</v>
      </c>
      <c r="E4" s="3">
        <v>3.9E-2</v>
      </c>
      <c r="F4" s="3">
        <v>3.9E-2</v>
      </c>
      <c r="G4" s="3">
        <v>3.9E-2</v>
      </c>
      <c r="H4" s="3">
        <v>0.05</v>
      </c>
      <c r="I4" s="3">
        <v>4.8000000000000001E-2</v>
      </c>
      <c r="J4" s="3">
        <v>4.8000000000000001E-2</v>
      </c>
      <c r="K4" s="3">
        <v>4.4999999999999998E-2</v>
      </c>
      <c r="L4" s="3">
        <v>4.3999999999999997E-2</v>
      </c>
      <c r="M4" s="3">
        <v>4.4999999999999998E-2</v>
      </c>
    </row>
    <row r="5" spans="1:13" x14ac:dyDescent="0.35">
      <c r="A5" s="2" t="s">
        <v>4</v>
      </c>
      <c r="B5" s="3">
        <v>3.6999999999999998E-2</v>
      </c>
      <c r="C5" s="3">
        <v>3.7999999999999999E-2</v>
      </c>
      <c r="D5" s="3">
        <v>3.7999999999999999E-2</v>
      </c>
      <c r="E5" s="3">
        <v>5.0999999999999997E-2</v>
      </c>
      <c r="F5" s="3">
        <v>0.05</v>
      </c>
      <c r="G5" s="3">
        <v>4.9000000000000002E-2</v>
      </c>
      <c r="H5" s="3">
        <v>4.1000000000000002E-2</v>
      </c>
      <c r="I5" s="3">
        <v>4.2000000000000003E-2</v>
      </c>
      <c r="J5" s="3">
        <v>4.2000000000000003E-2</v>
      </c>
      <c r="K5" s="3">
        <v>7.3999999999999996E-2</v>
      </c>
      <c r="L5" s="3">
        <v>7.2999999999999995E-2</v>
      </c>
      <c r="M5" s="3">
        <v>7.2999999999999995E-2</v>
      </c>
    </row>
    <row r="6" spans="1:13" x14ac:dyDescent="0.35">
      <c r="A6" s="2" t="s">
        <v>5</v>
      </c>
      <c r="B6" s="3">
        <v>3.7999999999999999E-2</v>
      </c>
      <c r="C6" s="3">
        <v>3.6999999999999998E-2</v>
      </c>
      <c r="D6" s="3">
        <v>3.6999999999999998E-2</v>
      </c>
      <c r="E6" s="3">
        <v>3.7999999999999999E-2</v>
      </c>
      <c r="F6" s="3">
        <v>3.7999999999999999E-2</v>
      </c>
      <c r="G6" s="3">
        <v>3.7999999999999999E-2</v>
      </c>
      <c r="H6" s="3">
        <v>4.2000000000000003E-2</v>
      </c>
      <c r="I6" s="3">
        <v>4.2000000000000003E-2</v>
      </c>
      <c r="J6" s="3">
        <v>4.2000000000000003E-2</v>
      </c>
      <c r="K6" s="3">
        <v>4.7E-2</v>
      </c>
      <c r="L6" s="3">
        <v>4.7E-2</v>
      </c>
      <c r="M6" s="3">
        <v>4.8000000000000001E-2</v>
      </c>
    </row>
    <row r="7" spans="1:13" x14ac:dyDescent="0.35">
      <c r="A7" s="2" t="s">
        <v>6</v>
      </c>
      <c r="B7" s="3">
        <v>3.9E-2</v>
      </c>
      <c r="C7" s="3">
        <v>3.7999999999999999E-2</v>
      </c>
      <c r="D7" s="3">
        <v>3.7999999999999999E-2</v>
      </c>
      <c r="E7" s="3">
        <v>6.6000000000000003E-2</v>
      </c>
      <c r="F7" s="3">
        <v>7.0999999999999994E-2</v>
      </c>
      <c r="G7" s="3">
        <v>6.9000000000000006E-2</v>
      </c>
      <c r="H7" s="3">
        <v>4.2000000000000003E-2</v>
      </c>
      <c r="I7" s="3">
        <v>4.2000000000000003E-2</v>
      </c>
      <c r="J7" s="3">
        <v>4.2999999999999997E-2</v>
      </c>
      <c r="K7" s="3">
        <v>4.7E-2</v>
      </c>
      <c r="L7" s="3">
        <v>4.7E-2</v>
      </c>
      <c r="M7" s="3">
        <v>4.7E-2</v>
      </c>
    </row>
    <row r="8" spans="1:13" x14ac:dyDescent="0.35">
      <c r="A8" s="2" t="s">
        <v>7</v>
      </c>
      <c r="B8" s="3">
        <v>3.9E-2</v>
      </c>
      <c r="C8" s="3">
        <v>3.6999999999999998E-2</v>
      </c>
      <c r="D8" s="3">
        <v>3.7999999999999999E-2</v>
      </c>
      <c r="E8" s="3">
        <v>0.05</v>
      </c>
      <c r="F8" s="3">
        <v>4.3999999999999997E-2</v>
      </c>
      <c r="G8" s="3">
        <v>4.2999999999999997E-2</v>
      </c>
      <c r="H8" s="3">
        <v>0.04</v>
      </c>
      <c r="I8" s="3">
        <v>0.04</v>
      </c>
      <c r="J8" s="3">
        <v>3.9E-2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3.7999999999999999E-2</v>
      </c>
      <c r="D9" s="3">
        <v>3.6999999999999998E-2</v>
      </c>
      <c r="E9" s="3">
        <v>5.1999999999999998E-2</v>
      </c>
      <c r="F9" s="3">
        <v>5.1999999999999998E-2</v>
      </c>
      <c r="G9" s="3">
        <v>5.0999999999999997E-2</v>
      </c>
      <c r="H9" s="3">
        <v>0.14699999999999999</v>
      </c>
      <c r="I9" s="3">
        <v>0.16400000000000001</v>
      </c>
      <c r="J9" s="3">
        <v>0.14299999999999999</v>
      </c>
      <c r="K9" s="3">
        <v>4.7E-2</v>
      </c>
      <c r="L9" s="3">
        <v>4.7E-2</v>
      </c>
      <c r="M9" s="3">
        <v>4.7E-2</v>
      </c>
    </row>
    <row r="11" spans="1:13" x14ac:dyDescent="0.35">
      <c r="A11" s="1" t="s">
        <v>45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0.308</v>
      </c>
      <c r="C12" s="3">
        <v>0.30399999999999999</v>
      </c>
      <c r="D12" s="3">
        <v>0.28699999999999998</v>
      </c>
      <c r="E12" s="3">
        <v>0.14799999999999999</v>
      </c>
      <c r="F12" s="3">
        <v>0.153</v>
      </c>
      <c r="G12" s="3">
        <v>0.153</v>
      </c>
      <c r="H12" s="3">
        <v>5.0999999999999997E-2</v>
      </c>
      <c r="I12" s="3">
        <v>7.9000000000000001E-2</v>
      </c>
      <c r="J12" s="3">
        <v>5.0999999999999997E-2</v>
      </c>
      <c r="K12" s="3">
        <v>4.7E-2</v>
      </c>
      <c r="L12" s="3">
        <v>4.5999999999999999E-2</v>
      </c>
      <c r="M12" s="3">
        <v>4.7E-2</v>
      </c>
    </row>
    <row r="13" spans="1:13" x14ac:dyDescent="0.35">
      <c r="A13" s="2" t="s">
        <v>2</v>
      </c>
      <c r="B13" s="3">
        <v>0.13400000000000001</v>
      </c>
      <c r="C13" s="3">
        <v>0.126</v>
      </c>
      <c r="D13" s="3">
        <v>0.10199999999999999</v>
      </c>
      <c r="E13" s="3">
        <v>4.5999999999999999E-2</v>
      </c>
      <c r="F13" s="3">
        <v>4.5999999999999999E-2</v>
      </c>
      <c r="G13" s="3">
        <v>4.7E-2</v>
      </c>
      <c r="H13" s="3">
        <v>5.7000000000000002E-2</v>
      </c>
      <c r="I13" s="3">
        <v>5.8000000000000003E-2</v>
      </c>
      <c r="J13" s="3">
        <v>5.7000000000000002E-2</v>
      </c>
      <c r="K13" s="3">
        <v>5.2999999999999999E-2</v>
      </c>
      <c r="L13" s="3">
        <v>5.1999999999999998E-2</v>
      </c>
      <c r="M13" s="3">
        <v>5.2999999999999999E-2</v>
      </c>
    </row>
    <row r="14" spans="1:13" x14ac:dyDescent="0.35">
      <c r="A14" s="2" t="s">
        <v>3</v>
      </c>
      <c r="B14" s="3">
        <v>5.2999999999999999E-2</v>
      </c>
      <c r="C14" s="3">
        <v>5.2999999999999999E-2</v>
      </c>
      <c r="D14" s="3">
        <v>5.0999999999999997E-2</v>
      </c>
      <c r="E14" s="3">
        <v>4.4999999999999998E-2</v>
      </c>
      <c r="F14" s="3">
        <v>4.4999999999999998E-2</v>
      </c>
      <c r="G14" s="3">
        <v>4.3999999999999997E-2</v>
      </c>
      <c r="H14" s="3">
        <v>5.3999999999999999E-2</v>
      </c>
      <c r="I14" s="3">
        <v>5.0999999999999997E-2</v>
      </c>
      <c r="J14" s="3">
        <v>5.2999999999999999E-2</v>
      </c>
      <c r="K14" s="3">
        <v>4.5999999999999999E-2</v>
      </c>
      <c r="L14" s="3">
        <v>4.4999999999999998E-2</v>
      </c>
      <c r="M14" s="3">
        <v>4.5999999999999999E-2</v>
      </c>
    </row>
    <row r="15" spans="1:13" x14ac:dyDescent="0.35">
      <c r="A15" s="2" t="s">
        <v>4</v>
      </c>
      <c r="B15" s="3">
        <v>0.182</v>
      </c>
      <c r="C15" s="3">
        <v>0.16900000000000001</v>
      </c>
      <c r="D15" s="3">
        <v>0.21199999999999999</v>
      </c>
      <c r="E15" s="3">
        <v>5.0999999999999997E-2</v>
      </c>
      <c r="F15" s="3">
        <v>0.05</v>
      </c>
      <c r="G15" s="3">
        <v>0.05</v>
      </c>
      <c r="H15" s="3">
        <v>4.3999999999999997E-2</v>
      </c>
      <c r="I15" s="3">
        <v>4.3999999999999997E-2</v>
      </c>
      <c r="J15" s="3">
        <v>4.2999999999999997E-2</v>
      </c>
      <c r="K15" s="3">
        <v>7.1999999999999995E-2</v>
      </c>
      <c r="L15" s="3">
        <v>7.2999999999999995E-2</v>
      </c>
      <c r="M15" s="3">
        <v>7.1999999999999995E-2</v>
      </c>
    </row>
    <row r="16" spans="1:13" x14ac:dyDescent="0.35">
      <c r="A16" s="2" t="s">
        <v>5</v>
      </c>
      <c r="B16" s="3">
        <v>3.7999999999999999E-2</v>
      </c>
      <c r="C16" s="3">
        <v>3.7999999999999999E-2</v>
      </c>
      <c r="D16" s="3">
        <v>3.9E-2</v>
      </c>
      <c r="E16" s="3">
        <v>4.2000000000000003E-2</v>
      </c>
      <c r="F16" s="3">
        <v>4.2000000000000003E-2</v>
      </c>
      <c r="G16" s="3">
        <v>4.1000000000000002E-2</v>
      </c>
      <c r="H16" s="3">
        <v>4.2999999999999997E-2</v>
      </c>
      <c r="I16" s="3">
        <v>4.3999999999999997E-2</v>
      </c>
      <c r="J16" s="3">
        <v>4.3999999999999997E-2</v>
      </c>
      <c r="K16" s="3">
        <v>4.7E-2</v>
      </c>
      <c r="L16" s="3">
        <v>4.7E-2</v>
      </c>
      <c r="M16" s="3">
        <v>4.8000000000000001E-2</v>
      </c>
    </row>
    <row r="17" spans="1:13" x14ac:dyDescent="0.35">
      <c r="A17" s="2" t="s">
        <v>6</v>
      </c>
      <c r="B17" s="3">
        <v>9.6000000000000002E-2</v>
      </c>
      <c r="C17" s="3">
        <v>7.0999999999999994E-2</v>
      </c>
      <c r="D17" s="3">
        <v>0.08</v>
      </c>
      <c r="E17" s="3">
        <v>6.9000000000000006E-2</v>
      </c>
      <c r="F17" s="3">
        <v>7.0000000000000007E-2</v>
      </c>
      <c r="G17" s="3">
        <v>6.8000000000000005E-2</v>
      </c>
      <c r="H17" s="3">
        <v>4.3999999999999997E-2</v>
      </c>
      <c r="I17" s="3">
        <v>4.3999999999999997E-2</v>
      </c>
      <c r="J17" s="3">
        <v>4.3999999999999997E-2</v>
      </c>
      <c r="K17" s="3">
        <v>4.7E-2</v>
      </c>
      <c r="L17" s="3">
        <v>4.7E-2</v>
      </c>
      <c r="M17" s="3">
        <v>4.7E-2</v>
      </c>
    </row>
    <row r="18" spans="1:13" x14ac:dyDescent="0.35">
      <c r="A18" s="2" t="s">
        <v>7</v>
      </c>
      <c r="B18" s="3">
        <v>4.9000000000000002E-2</v>
      </c>
      <c r="C18" s="3">
        <v>4.4999999999999998E-2</v>
      </c>
      <c r="D18" s="3">
        <v>4.7E-2</v>
      </c>
      <c r="E18" s="3">
        <v>4.9000000000000002E-2</v>
      </c>
      <c r="F18" s="3">
        <v>4.5999999999999999E-2</v>
      </c>
      <c r="G18" s="3">
        <v>4.5999999999999999E-2</v>
      </c>
      <c r="H18" s="3">
        <v>4.3999999999999997E-2</v>
      </c>
      <c r="I18" s="3">
        <v>4.3999999999999997E-2</v>
      </c>
      <c r="J18" s="3">
        <v>4.2999999999999997E-2</v>
      </c>
      <c r="K18" s="3">
        <v>4.7E-2</v>
      </c>
      <c r="L18" s="3">
        <v>4.7E-2</v>
      </c>
      <c r="M18" s="3">
        <v>4.7E-2</v>
      </c>
    </row>
    <row r="19" spans="1:13" x14ac:dyDescent="0.35">
      <c r="A19" s="2" t="s">
        <v>8</v>
      </c>
      <c r="B19" s="3">
        <v>3.7999999999999999E-2</v>
      </c>
      <c r="C19" s="3">
        <v>0.04</v>
      </c>
      <c r="D19" s="3">
        <v>3.7999999999999999E-2</v>
      </c>
      <c r="E19" s="3">
        <v>5.7000000000000002E-2</v>
      </c>
      <c r="F19" s="3">
        <v>5.6000000000000001E-2</v>
      </c>
      <c r="G19" s="3">
        <v>5.6000000000000001E-2</v>
      </c>
      <c r="H19" s="3">
        <v>0.20100000000000001</v>
      </c>
      <c r="I19" s="3">
        <v>0.192</v>
      </c>
      <c r="J19" s="3">
        <v>0.216</v>
      </c>
      <c r="K19" s="3">
        <v>4.7E-2</v>
      </c>
      <c r="L19" s="3">
        <v>4.7E-2</v>
      </c>
      <c r="M19" s="3">
        <v>4.7E-2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122</v>
      </c>
      <c r="C22" s="6" t="s">
        <v>122</v>
      </c>
      <c r="D22" s="6" t="s">
        <v>122</v>
      </c>
      <c r="E22" s="7" t="s">
        <v>46</v>
      </c>
      <c r="F22" s="7" t="s">
        <v>46</v>
      </c>
      <c r="G22" s="7" t="s">
        <v>46</v>
      </c>
      <c r="H22" s="7" t="s">
        <v>56</v>
      </c>
      <c r="I22" s="7" t="s">
        <v>56</v>
      </c>
      <c r="J22" s="7" t="s">
        <v>56</v>
      </c>
      <c r="K22" s="7" t="s">
        <v>59</v>
      </c>
      <c r="L22" s="7" t="s">
        <v>59</v>
      </c>
      <c r="M22" s="7" t="s">
        <v>59</v>
      </c>
    </row>
    <row r="23" spans="1:13" ht="37.5" x14ac:dyDescent="0.35">
      <c r="A23" s="5" t="s">
        <v>2</v>
      </c>
      <c r="B23" s="6" t="s">
        <v>125</v>
      </c>
      <c r="C23" s="6" t="s">
        <v>125</v>
      </c>
      <c r="D23" s="6" t="s">
        <v>125</v>
      </c>
      <c r="E23" s="7" t="s">
        <v>47</v>
      </c>
      <c r="F23" s="7" t="s">
        <v>47</v>
      </c>
      <c r="G23" s="7" t="s">
        <v>47</v>
      </c>
      <c r="H23" s="7" t="s">
        <v>54</v>
      </c>
      <c r="I23" s="7" t="s">
        <v>54</v>
      </c>
      <c r="J23" s="7" t="s">
        <v>54</v>
      </c>
      <c r="K23" s="7" t="s">
        <v>65</v>
      </c>
      <c r="L23" s="7" t="s">
        <v>65</v>
      </c>
      <c r="M23" s="7" t="s">
        <v>65</v>
      </c>
    </row>
    <row r="24" spans="1:13" ht="37.5" x14ac:dyDescent="0.35">
      <c r="A24" s="5" t="s">
        <v>3</v>
      </c>
      <c r="B24" s="6" t="s">
        <v>128</v>
      </c>
      <c r="C24" s="6" t="s">
        <v>128</v>
      </c>
      <c r="D24" s="6" t="s">
        <v>128</v>
      </c>
      <c r="E24" s="7" t="s">
        <v>48</v>
      </c>
      <c r="F24" s="7" t="s">
        <v>48</v>
      </c>
      <c r="G24" s="7" t="s">
        <v>48</v>
      </c>
      <c r="H24" s="7" t="s">
        <v>60</v>
      </c>
      <c r="I24" s="7" t="s">
        <v>60</v>
      </c>
      <c r="J24" s="7" t="s">
        <v>60</v>
      </c>
      <c r="K24" s="7" t="s">
        <v>57</v>
      </c>
      <c r="L24" s="7" t="s">
        <v>57</v>
      </c>
      <c r="M24" s="7" t="s">
        <v>57</v>
      </c>
    </row>
    <row r="25" spans="1:13" ht="25" x14ac:dyDescent="0.35">
      <c r="A25" s="5" t="s">
        <v>4</v>
      </c>
      <c r="B25" s="7" t="s">
        <v>134</v>
      </c>
      <c r="C25" s="7" t="s">
        <v>134</v>
      </c>
      <c r="D25" s="7" t="s">
        <v>134</v>
      </c>
      <c r="E25" s="7" t="s">
        <v>49</v>
      </c>
      <c r="F25" s="7" t="s">
        <v>49</v>
      </c>
      <c r="G25" s="7" t="s">
        <v>49</v>
      </c>
      <c r="H25" s="7" t="s">
        <v>55</v>
      </c>
      <c r="I25" s="7" t="s">
        <v>55</v>
      </c>
      <c r="J25" s="7" t="s">
        <v>55</v>
      </c>
      <c r="K25" s="7" t="s">
        <v>58</v>
      </c>
      <c r="L25" s="7" t="s">
        <v>58</v>
      </c>
      <c r="M25" s="7" t="s">
        <v>58</v>
      </c>
    </row>
    <row r="26" spans="1:13" ht="25" x14ac:dyDescent="0.35">
      <c r="A26" s="5" t="s">
        <v>5</v>
      </c>
      <c r="B26" s="7" t="s">
        <v>133</v>
      </c>
      <c r="C26" s="7" t="s">
        <v>133</v>
      </c>
      <c r="D26" s="7" t="s">
        <v>133</v>
      </c>
      <c r="E26" s="7" t="s">
        <v>50</v>
      </c>
      <c r="F26" s="7" t="s">
        <v>50</v>
      </c>
      <c r="G26" s="7" t="s">
        <v>50</v>
      </c>
      <c r="H26" s="7" t="s">
        <v>61</v>
      </c>
      <c r="I26" s="7" t="s">
        <v>61</v>
      </c>
      <c r="J26" s="7" t="s">
        <v>61</v>
      </c>
      <c r="K26" s="7" t="s">
        <v>25</v>
      </c>
      <c r="L26" s="7" t="s">
        <v>25</v>
      </c>
      <c r="M26" s="7" t="s">
        <v>25</v>
      </c>
    </row>
    <row r="27" spans="1:13" ht="25" x14ac:dyDescent="0.35">
      <c r="A27" s="5" t="s">
        <v>6</v>
      </c>
      <c r="B27" s="7" t="s">
        <v>137</v>
      </c>
      <c r="C27" s="7" t="s">
        <v>137</v>
      </c>
      <c r="D27" s="7" t="s">
        <v>137</v>
      </c>
      <c r="E27" s="7" t="s">
        <v>51</v>
      </c>
      <c r="F27" s="7" t="s">
        <v>51</v>
      </c>
      <c r="G27" s="7" t="s">
        <v>51</v>
      </c>
      <c r="H27" s="7" t="s">
        <v>62</v>
      </c>
      <c r="I27" s="7" t="s">
        <v>62</v>
      </c>
      <c r="J27" s="7" t="s">
        <v>62</v>
      </c>
      <c r="K27" s="7" t="s">
        <v>25</v>
      </c>
      <c r="L27" s="7" t="s">
        <v>25</v>
      </c>
      <c r="M27" s="7" t="s">
        <v>25</v>
      </c>
    </row>
    <row r="28" spans="1:13" ht="37.5" x14ac:dyDescent="0.35">
      <c r="A28" s="5" t="s">
        <v>7</v>
      </c>
      <c r="B28" s="7" t="s">
        <v>140</v>
      </c>
      <c r="C28" s="7" t="s">
        <v>140</v>
      </c>
      <c r="D28" s="7" t="s">
        <v>140</v>
      </c>
      <c r="E28" s="7" t="s">
        <v>52</v>
      </c>
      <c r="F28" s="7" t="s">
        <v>52</v>
      </c>
      <c r="G28" s="7" t="s">
        <v>52</v>
      </c>
      <c r="H28" s="7" t="s">
        <v>63</v>
      </c>
      <c r="I28" s="7" t="s">
        <v>63</v>
      </c>
      <c r="J28" s="7" t="s">
        <v>63</v>
      </c>
      <c r="K28" s="7" t="s">
        <v>25</v>
      </c>
      <c r="L28" s="7" t="s">
        <v>25</v>
      </c>
      <c r="M28" s="7" t="s">
        <v>25</v>
      </c>
    </row>
    <row r="29" spans="1:13" ht="37.5" x14ac:dyDescent="0.35">
      <c r="A29" s="5" t="s">
        <v>8</v>
      </c>
      <c r="B29" s="7" t="s">
        <v>133</v>
      </c>
      <c r="C29" s="7" t="s">
        <v>133</v>
      </c>
      <c r="D29" s="7" t="s">
        <v>133</v>
      </c>
      <c r="E29" s="7" t="s">
        <v>53</v>
      </c>
      <c r="F29" s="7" t="s">
        <v>53</v>
      </c>
      <c r="G29" s="7" t="s">
        <v>53</v>
      </c>
      <c r="H29" s="7" t="s">
        <v>64</v>
      </c>
      <c r="I29" s="7" t="s">
        <v>64</v>
      </c>
      <c r="J29" s="7" t="s">
        <v>64</v>
      </c>
      <c r="K29" s="7" t="s">
        <v>25</v>
      </c>
      <c r="L29" s="7" t="s">
        <v>25</v>
      </c>
      <c r="M29" s="7" t="s">
        <v>25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D937-B49D-4393-93E3-3A607819149B}">
  <sheetPr codeName="Sheet6"/>
  <dimension ref="A1:M39"/>
  <sheetViews>
    <sheetView topLeftCell="A24" workbookViewId="0">
      <selection activeCell="B26" sqref="B26:D29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44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0.17499999999999999</v>
      </c>
      <c r="C2" s="3">
        <v>0.14399999999999999</v>
      </c>
      <c r="D2" s="3">
        <v>0.16900000000000001</v>
      </c>
      <c r="E2" s="3">
        <v>4.8000000000000001E-2</v>
      </c>
      <c r="F2" s="3">
        <v>4.4999999999999998E-2</v>
      </c>
      <c r="G2" s="3">
        <v>4.7E-2</v>
      </c>
      <c r="H2" s="3">
        <v>4.8000000000000001E-2</v>
      </c>
      <c r="I2" s="3">
        <v>4.5999999999999999E-2</v>
      </c>
      <c r="J2" s="3">
        <v>4.7E-2</v>
      </c>
      <c r="K2" s="3">
        <v>4.8000000000000001E-2</v>
      </c>
      <c r="L2" s="3">
        <v>4.7E-2</v>
      </c>
      <c r="M2" s="3">
        <v>4.8000000000000001E-2</v>
      </c>
    </row>
    <row r="3" spans="1:13" x14ac:dyDescent="0.35">
      <c r="A3" s="2" t="s">
        <v>2</v>
      </c>
      <c r="B3" s="3">
        <v>8.3000000000000004E-2</v>
      </c>
      <c r="C3" s="3">
        <v>7.6999999999999999E-2</v>
      </c>
      <c r="D3" s="3">
        <v>7.5999999999999998E-2</v>
      </c>
      <c r="E3" s="3">
        <v>6.0999999999999999E-2</v>
      </c>
      <c r="F3" s="3">
        <v>5.8000000000000003E-2</v>
      </c>
      <c r="G3" s="3">
        <v>6.0999999999999999E-2</v>
      </c>
      <c r="H3" s="3">
        <v>0.05</v>
      </c>
      <c r="I3" s="3">
        <v>4.9000000000000002E-2</v>
      </c>
      <c r="J3" s="3">
        <v>4.8000000000000001E-2</v>
      </c>
      <c r="K3" s="3">
        <v>4.7E-2</v>
      </c>
      <c r="L3" s="3">
        <v>4.5999999999999999E-2</v>
      </c>
      <c r="M3" s="3">
        <v>4.5999999999999999E-2</v>
      </c>
    </row>
    <row r="4" spans="1:13" x14ac:dyDescent="0.35">
      <c r="A4" s="2" t="s">
        <v>3</v>
      </c>
      <c r="B4" s="3">
        <v>4.4999999999999998E-2</v>
      </c>
      <c r="C4" s="3">
        <v>4.2999999999999997E-2</v>
      </c>
      <c r="D4" s="3">
        <v>4.2999999999999997E-2</v>
      </c>
      <c r="E4" s="3">
        <v>4.8000000000000001E-2</v>
      </c>
      <c r="F4" s="3">
        <v>4.8000000000000001E-2</v>
      </c>
      <c r="G4" s="3">
        <v>4.7E-2</v>
      </c>
      <c r="H4" s="3">
        <v>5.3999999999999999E-2</v>
      </c>
      <c r="I4" s="3">
        <v>5.5E-2</v>
      </c>
      <c r="J4" s="3">
        <v>5.3999999999999999E-2</v>
      </c>
      <c r="K4" s="3">
        <v>4.7E-2</v>
      </c>
      <c r="L4" s="3">
        <v>4.8000000000000001E-2</v>
      </c>
      <c r="M4" s="3">
        <v>4.8000000000000001E-2</v>
      </c>
    </row>
    <row r="5" spans="1:13" x14ac:dyDescent="0.35">
      <c r="A5" s="2" t="s">
        <v>4</v>
      </c>
      <c r="B5" s="3">
        <v>3.6999999999999998E-2</v>
      </c>
      <c r="C5" s="3">
        <v>0.04</v>
      </c>
      <c r="D5" s="3">
        <v>3.6999999999999998E-2</v>
      </c>
      <c r="E5" s="3">
        <v>5.2999999999999999E-2</v>
      </c>
      <c r="F5" s="3">
        <v>5.0999999999999997E-2</v>
      </c>
      <c r="G5" s="3">
        <v>5.0999999999999997E-2</v>
      </c>
      <c r="H5" s="3">
        <v>4.9000000000000002E-2</v>
      </c>
      <c r="I5" s="3">
        <v>4.8000000000000001E-2</v>
      </c>
      <c r="J5" s="3">
        <v>4.7E-2</v>
      </c>
      <c r="K5" s="3">
        <v>5.0999999999999997E-2</v>
      </c>
      <c r="L5" s="3">
        <v>0.05</v>
      </c>
      <c r="M5" s="3">
        <v>0.05</v>
      </c>
    </row>
    <row r="6" spans="1:13" x14ac:dyDescent="0.35">
      <c r="A6" s="2" t="s">
        <v>5</v>
      </c>
      <c r="B6" s="3">
        <v>3.9E-2</v>
      </c>
      <c r="C6" s="3">
        <v>4.3999999999999997E-2</v>
      </c>
      <c r="D6" s="3">
        <v>3.7999999999999999E-2</v>
      </c>
      <c r="E6" s="3">
        <v>5.1999999999999998E-2</v>
      </c>
      <c r="F6" s="3">
        <v>4.9000000000000002E-2</v>
      </c>
      <c r="G6" s="3">
        <v>4.9000000000000002E-2</v>
      </c>
      <c r="H6" s="3">
        <v>4.4999999999999998E-2</v>
      </c>
      <c r="I6" s="3">
        <v>4.4999999999999998E-2</v>
      </c>
      <c r="J6" s="3">
        <v>4.4999999999999998E-2</v>
      </c>
      <c r="K6" s="3">
        <v>6.0999999999999999E-2</v>
      </c>
      <c r="L6" s="3">
        <v>6.2E-2</v>
      </c>
      <c r="M6" s="3">
        <v>6.0999999999999999E-2</v>
      </c>
    </row>
    <row r="7" spans="1:13" x14ac:dyDescent="0.35">
      <c r="A7" s="2" t="s">
        <v>6</v>
      </c>
      <c r="B7" s="3">
        <v>3.9E-2</v>
      </c>
      <c r="C7" s="3">
        <v>3.7999999999999999E-2</v>
      </c>
      <c r="D7" s="3">
        <v>3.6999999999999998E-2</v>
      </c>
      <c r="E7" s="3">
        <v>4.4999999999999998E-2</v>
      </c>
      <c r="F7" s="3">
        <v>4.2000000000000003E-2</v>
      </c>
      <c r="G7" s="3">
        <v>4.5999999999999999E-2</v>
      </c>
      <c r="H7" s="3">
        <v>4.3999999999999997E-2</v>
      </c>
      <c r="I7" s="3">
        <v>4.4999999999999998E-2</v>
      </c>
      <c r="J7" s="3">
        <v>4.3999999999999997E-2</v>
      </c>
      <c r="K7" s="3">
        <v>4.8000000000000001E-2</v>
      </c>
      <c r="L7" s="3">
        <v>4.7E-2</v>
      </c>
      <c r="M7" s="3">
        <v>4.8000000000000001E-2</v>
      </c>
    </row>
    <row r="8" spans="1:13" x14ac:dyDescent="0.35">
      <c r="A8" s="2" t="s">
        <v>7</v>
      </c>
      <c r="B8" s="3">
        <v>0.04</v>
      </c>
      <c r="C8" s="3">
        <v>3.6999999999999998E-2</v>
      </c>
      <c r="D8" s="3">
        <v>3.6999999999999998E-2</v>
      </c>
      <c r="E8" s="3">
        <v>4.3999999999999997E-2</v>
      </c>
      <c r="F8" s="3">
        <v>4.3999999999999997E-2</v>
      </c>
      <c r="G8" s="3">
        <v>4.2999999999999997E-2</v>
      </c>
      <c r="H8" s="3">
        <v>4.7E-2</v>
      </c>
      <c r="I8" s="3">
        <v>4.8000000000000001E-2</v>
      </c>
      <c r="J8" s="3">
        <v>4.8000000000000001E-2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3.6999999999999998E-2</v>
      </c>
      <c r="D9" s="3">
        <v>3.6999999999999998E-2</v>
      </c>
      <c r="E9" s="3">
        <v>4.7E-2</v>
      </c>
      <c r="F9" s="3">
        <v>4.7E-2</v>
      </c>
      <c r="G9" s="3">
        <v>4.7E-2</v>
      </c>
      <c r="H9" s="3">
        <v>0.13500000000000001</v>
      </c>
      <c r="I9" s="3">
        <v>0.122</v>
      </c>
      <c r="J9" s="3">
        <v>0.121</v>
      </c>
      <c r="K9" s="3">
        <v>4.7E-2</v>
      </c>
      <c r="L9" s="3">
        <v>4.7E-2</v>
      </c>
      <c r="M9" s="3">
        <v>4.7E-2</v>
      </c>
    </row>
    <row r="11" spans="1:13" x14ac:dyDescent="0.35">
      <c r="A11" s="1" t="s">
        <v>45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0.30499999999999999</v>
      </c>
      <c r="C12" s="3">
        <v>0.27900000000000003</v>
      </c>
      <c r="D12" s="3">
        <v>0.307</v>
      </c>
      <c r="E12" s="3">
        <v>0.05</v>
      </c>
      <c r="F12" s="3">
        <v>0.05</v>
      </c>
      <c r="G12" s="3">
        <v>0.05</v>
      </c>
      <c r="H12" s="3">
        <v>4.9000000000000002E-2</v>
      </c>
      <c r="I12" s="3">
        <v>4.8000000000000001E-2</v>
      </c>
      <c r="J12" s="3">
        <v>4.8000000000000001E-2</v>
      </c>
      <c r="K12" s="3">
        <v>4.9000000000000002E-2</v>
      </c>
      <c r="L12" s="3">
        <v>4.9000000000000002E-2</v>
      </c>
      <c r="M12" s="3">
        <v>0.05</v>
      </c>
    </row>
    <row r="13" spans="1:13" x14ac:dyDescent="0.35">
      <c r="A13" s="2" t="s">
        <v>2</v>
      </c>
      <c r="B13" s="3">
        <v>0.111</v>
      </c>
      <c r="C13" s="3">
        <v>0.122</v>
      </c>
      <c r="D13" s="3">
        <v>0.113</v>
      </c>
      <c r="E13" s="3">
        <v>6.7000000000000004E-2</v>
      </c>
      <c r="F13" s="3">
        <v>6.5000000000000002E-2</v>
      </c>
      <c r="G13" s="3">
        <v>6.5000000000000002E-2</v>
      </c>
      <c r="H13" s="3">
        <v>5.2999999999999999E-2</v>
      </c>
      <c r="I13" s="3">
        <v>5.1999999999999998E-2</v>
      </c>
      <c r="J13" s="3">
        <v>5.0999999999999997E-2</v>
      </c>
      <c r="K13" s="3">
        <v>5.1999999999999998E-2</v>
      </c>
      <c r="L13" s="3">
        <v>0.05</v>
      </c>
      <c r="M13" s="3">
        <v>5.1999999999999998E-2</v>
      </c>
    </row>
    <row r="14" spans="1:13" x14ac:dyDescent="0.35">
      <c r="A14" s="2" t="s">
        <v>3</v>
      </c>
      <c r="B14" s="3">
        <v>5.2999999999999999E-2</v>
      </c>
      <c r="C14" s="3">
        <v>0.05</v>
      </c>
      <c r="D14" s="3">
        <v>0.05</v>
      </c>
      <c r="E14" s="3">
        <v>5.1999999999999998E-2</v>
      </c>
      <c r="F14" s="3">
        <v>5.3999999999999999E-2</v>
      </c>
      <c r="G14" s="3">
        <v>5.2999999999999999E-2</v>
      </c>
      <c r="H14" s="3">
        <v>5.8999999999999997E-2</v>
      </c>
      <c r="I14" s="3">
        <v>5.8999999999999997E-2</v>
      </c>
      <c r="J14" s="3">
        <v>5.8000000000000003E-2</v>
      </c>
      <c r="K14" s="3">
        <v>5.1999999999999998E-2</v>
      </c>
      <c r="L14" s="3">
        <v>5.1999999999999998E-2</v>
      </c>
      <c r="M14" s="3">
        <v>5.0999999999999997E-2</v>
      </c>
    </row>
    <row r="15" spans="1:13" x14ac:dyDescent="0.35">
      <c r="A15" s="2" t="s">
        <v>4</v>
      </c>
      <c r="B15" s="3">
        <v>3.7999999999999999E-2</v>
      </c>
      <c r="C15" s="3">
        <v>0.04</v>
      </c>
      <c r="D15" s="3">
        <v>3.7999999999999999E-2</v>
      </c>
      <c r="E15" s="3">
        <v>5.5E-2</v>
      </c>
      <c r="F15" s="3">
        <v>5.3999999999999999E-2</v>
      </c>
      <c r="G15" s="3">
        <v>5.3999999999999999E-2</v>
      </c>
      <c r="H15" s="3">
        <v>0.05</v>
      </c>
      <c r="I15" s="3">
        <v>0.05</v>
      </c>
      <c r="J15" s="3">
        <v>5.0999999999999997E-2</v>
      </c>
      <c r="K15" s="3">
        <v>5.1999999999999998E-2</v>
      </c>
      <c r="L15" s="3">
        <v>5.1999999999999998E-2</v>
      </c>
      <c r="M15" s="3">
        <v>5.1999999999999998E-2</v>
      </c>
    </row>
    <row r="16" spans="1:13" x14ac:dyDescent="0.35">
      <c r="A16" s="2" t="s">
        <v>5</v>
      </c>
      <c r="B16" s="3">
        <v>0.17799999999999999</v>
      </c>
      <c r="C16" s="3">
        <v>0.193</v>
      </c>
      <c r="D16" s="3">
        <v>0.16300000000000001</v>
      </c>
      <c r="E16" s="3">
        <v>5.2999999999999999E-2</v>
      </c>
      <c r="F16" s="3">
        <v>5.3999999999999999E-2</v>
      </c>
      <c r="G16" s="3">
        <v>5.2999999999999999E-2</v>
      </c>
      <c r="H16" s="3">
        <v>5.0999999999999997E-2</v>
      </c>
      <c r="I16" s="3">
        <v>5.0999999999999997E-2</v>
      </c>
      <c r="J16" s="3">
        <v>0.05</v>
      </c>
      <c r="K16" s="3">
        <v>6.2E-2</v>
      </c>
      <c r="L16" s="3">
        <v>6.2E-2</v>
      </c>
      <c r="M16" s="3">
        <v>6.0999999999999999E-2</v>
      </c>
    </row>
    <row r="17" spans="1:13" x14ac:dyDescent="0.35">
      <c r="A17" s="2" t="s">
        <v>6</v>
      </c>
      <c r="B17" s="3">
        <v>8.4000000000000005E-2</v>
      </c>
      <c r="C17" s="3">
        <v>8.1000000000000003E-2</v>
      </c>
      <c r="D17" s="3">
        <v>7.2999999999999995E-2</v>
      </c>
      <c r="E17" s="3">
        <v>4.5999999999999999E-2</v>
      </c>
      <c r="F17" s="3">
        <v>4.7E-2</v>
      </c>
      <c r="G17" s="3">
        <v>4.4999999999999998E-2</v>
      </c>
      <c r="H17" s="3">
        <v>4.9000000000000002E-2</v>
      </c>
      <c r="I17" s="3">
        <v>0.05</v>
      </c>
      <c r="J17" s="3">
        <v>4.9000000000000002E-2</v>
      </c>
      <c r="K17" s="3">
        <v>4.9000000000000002E-2</v>
      </c>
      <c r="L17" s="3">
        <v>4.7E-2</v>
      </c>
      <c r="M17" s="3">
        <v>4.8000000000000001E-2</v>
      </c>
    </row>
    <row r="18" spans="1:13" x14ac:dyDescent="0.35">
      <c r="A18" s="2" t="s">
        <v>7</v>
      </c>
      <c r="B18" s="3">
        <v>4.8000000000000001E-2</v>
      </c>
      <c r="C18" s="3">
        <v>4.7E-2</v>
      </c>
      <c r="D18" s="3">
        <v>4.8000000000000001E-2</v>
      </c>
      <c r="E18" s="3">
        <v>4.5999999999999999E-2</v>
      </c>
      <c r="F18" s="3">
        <v>4.5999999999999999E-2</v>
      </c>
      <c r="G18" s="3">
        <v>4.4999999999999998E-2</v>
      </c>
      <c r="H18" s="3">
        <v>5.0999999999999997E-2</v>
      </c>
      <c r="I18" s="3">
        <v>5.1999999999999998E-2</v>
      </c>
      <c r="J18" s="3">
        <v>5.0999999999999997E-2</v>
      </c>
      <c r="K18" s="3">
        <v>4.7E-2</v>
      </c>
      <c r="L18" s="3">
        <v>4.7E-2</v>
      </c>
      <c r="M18" s="3">
        <v>4.7E-2</v>
      </c>
    </row>
    <row r="19" spans="1:13" x14ac:dyDescent="0.35">
      <c r="A19" s="2" t="s">
        <v>8</v>
      </c>
      <c r="B19" s="3">
        <v>3.7999999999999999E-2</v>
      </c>
      <c r="C19" s="3">
        <v>3.9E-2</v>
      </c>
      <c r="D19" s="3">
        <v>3.7999999999999999E-2</v>
      </c>
      <c r="E19" s="3">
        <v>4.9000000000000002E-2</v>
      </c>
      <c r="F19" s="3">
        <v>4.8000000000000001E-2</v>
      </c>
      <c r="G19" s="3">
        <v>4.8000000000000001E-2</v>
      </c>
      <c r="H19" s="3">
        <v>0.188</v>
      </c>
      <c r="I19" s="3">
        <v>0.17799999999999999</v>
      </c>
      <c r="J19" s="3">
        <v>0.17100000000000001</v>
      </c>
      <c r="K19" s="3">
        <v>4.7E-2</v>
      </c>
      <c r="L19" s="3">
        <v>4.7E-2</v>
      </c>
      <c r="M19" s="3">
        <v>4.7E-2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122</v>
      </c>
      <c r="C22" s="6" t="s">
        <v>122</v>
      </c>
      <c r="D22" s="6" t="s">
        <v>122</v>
      </c>
      <c r="E22" s="7" t="s">
        <v>66</v>
      </c>
      <c r="F22" s="7" t="s">
        <v>66</v>
      </c>
      <c r="G22" s="7" t="s">
        <v>66</v>
      </c>
      <c r="H22" s="7" t="s">
        <v>74</v>
      </c>
      <c r="I22" s="7" t="s">
        <v>74</v>
      </c>
      <c r="J22" s="7" t="s">
        <v>74</v>
      </c>
      <c r="K22" s="7" t="s">
        <v>82</v>
      </c>
      <c r="L22" s="7" t="s">
        <v>82</v>
      </c>
      <c r="M22" s="7" t="s">
        <v>82</v>
      </c>
    </row>
    <row r="23" spans="1:13" ht="37.5" x14ac:dyDescent="0.35">
      <c r="A23" s="5" t="s">
        <v>2</v>
      </c>
      <c r="B23" s="6" t="s">
        <v>125</v>
      </c>
      <c r="C23" s="6" t="s">
        <v>125</v>
      </c>
      <c r="D23" s="6" t="s">
        <v>125</v>
      </c>
      <c r="E23" s="7" t="s">
        <v>67</v>
      </c>
      <c r="F23" s="7" t="s">
        <v>67</v>
      </c>
      <c r="G23" s="7" t="s">
        <v>67</v>
      </c>
      <c r="H23" s="7" t="s">
        <v>75</v>
      </c>
      <c r="I23" s="7" t="s">
        <v>75</v>
      </c>
      <c r="J23" s="7" t="s">
        <v>75</v>
      </c>
      <c r="K23" s="7" t="s">
        <v>83</v>
      </c>
      <c r="L23" s="7" t="s">
        <v>83</v>
      </c>
      <c r="M23" s="7" t="s">
        <v>83</v>
      </c>
    </row>
    <row r="24" spans="1:13" ht="37.5" x14ac:dyDescent="0.35">
      <c r="A24" s="5" t="s">
        <v>3</v>
      </c>
      <c r="B24" s="6" t="s">
        <v>128</v>
      </c>
      <c r="C24" s="6" t="s">
        <v>128</v>
      </c>
      <c r="D24" s="6" t="s">
        <v>128</v>
      </c>
      <c r="E24" s="7" t="s">
        <v>68</v>
      </c>
      <c r="F24" s="7" t="s">
        <v>68</v>
      </c>
      <c r="G24" s="7" t="s">
        <v>68</v>
      </c>
      <c r="H24" s="7" t="s">
        <v>76</v>
      </c>
      <c r="I24" s="7" t="s">
        <v>76</v>
      </c>
      <c r="J24" s="7" t="s">
        <v>76</v>
      </c>
      <c r="K24" s="7" t="s">
        <v>84</v>
      </c>
      <c r="L24" s="7" t="s">
        <v>84</v>
      </c>
      <c r="M24" s="7" t="s">
        <v>84</v>
      </c>
    </row>
    <row r="25" spans="1:13" ht="37.5" x14ac:dyDescent="0.35">
      <c r="A25" s="5" t="s">
        <v>4</v>
      </c>
      <c r="B25" s="7" t="s">
        <v>133</v>
      </c>
      <c r="C25" s="7" t="s">
        <v>133</v>
      </c>
      <c r="D25" s="7" t="s">
        <v>133</v>
      </c>
      <c r="E25" s="7" t="s">
        <v>69</v>
      </c>
      <c r="F25" s="7" t="s">
        <v>69</v>
      </c>
      <c r="G25" s="7" t="s">
        <v>69</v>
      </c>
      <c r="H25" s="7" t="s">
        <v>77</v>
      </c>
      <c r="I25" s="7" t="s">
        <v>77</v>
      </c>
      <c r="J25" s="7" t="s">
        <v>77</v>
      </c>
      <c r="K25" s="7" t="s">
        <v>85</v>
      </c>
      <c r="L25" s="7" t="s">
        <v>85</v>
      </c>
      <c r="M25" s="7" t="s">
        <v>85</v>
      </c>
    </row>
    <row r="26" spans="1:13" ht="37.5" x14ac:dyDescent="0.35">
      <c r="A26" s="5" t="s">
        <v>5</v>
      </c>
      <c r="B26" s="7" t="s">
        <v>134</v>
      </c>
      <c r="C26" s="7" t="s">
        <v>134</v>
      </c>
      <c r="D26" s="7" t="s">
        <v>134</v>
      </c>
      <c r="E26" s="7" t="s">
        <v>70</v>
      </c>
      <c r="F26" s="7" t="s">
        <v>70</v>
      </c>
      <c r="G26" s="7" t="s">
        <v>70</v>
      </c>
      <c r="H26" s="7" t="s">
        <v>78</v>
      </c>
      <c r="I26" s="7" t="s">
        <v>78</v>
      </c>
      <c r="J26" s="7" t="s">
        <v>78</v>
      </c>
      <c r="K26" s="7" t="s">
        <v>86</v>
      </c>
      <c r="L26" s="7" t="s">
        <v>86</v>
      </c>
      <c r="M26" s="7" t="s">
        <v>86</v>
      </c>
    </row>
    <row r="27" spans="1:13" ht="37.5" x14ac:dyDescent="0.35">
      <c r="A27" s="5" t="s">
        <v>6</v>
      </c>
      <c r="B27" s="7" t="s">
        <v>137</v>
      </c>
      <c r="C27" s="7" t="s">
        <v>137</v>
      </c>
      <c r="D27" s="7" t="s">
        <v>137</v>
      </c>
      <c r="E27" s="7" t="s">
        <v>71</v>
      </c>
      <c r="F27" s="7" t="s">
        <v>71</v>
      </c>
      <c r="G27" s="7" t="s">
        <v>71</v>
      </c>
      <c r="H27" s="7" t="s">
        <v>79</v>
      </c>
      <c r="I27" s="7" t="s">
        <v>79</v>
      </c>
      <c r="J27" s="7" t="s">
        <v>79</v>
      </c>
      <c r="K27" s="7" t="s">
        <v>25</v>
      </c>
      <c r="L27" s="7" t="s">
        <v>25</v>
      </c>
      <c r="M27" s="7" t="s">
        <v>25</v>
      </c>
    </row>
    <row r="28" spans="1:13" ht="37.5" x14ac:dyDescent="0.35">
      <c r="A28" s="5" t="s">
        <v>7</v>
      </c>
      <c r="B28" s="7" t="s">
        <v>140</v>
      </c>
      <c r="C28" s="7" t="s">
        <v>140</v>
      </c>
      <c r="D28" s="7" t="s">
        <v>140</v>
      </c>
      <c r="E28" s="7" t="s">
        <v>72</v>
      </c>
      <c r="F28" s="7" t="s">
        <v>72</v>
      </c>
      <c r="G28" s="7" t="s">
        <v>72</v>
      </c>
      <c r="H28" s="7" t="s">
        <v>80</v>
      </c>
      <c r="I28" s="7" t="s">
        <v>80</v>
      </c>
      <c r="J28" s="7" t="s">
        <v>80</v>
      </c>
      <c r="K28" s="7" t="s">
        <v>25</v>
      </c>
      <c r="L28" s="7" t="s">
        <v>25</v>
      </c>
      <c r="M28" s="7" t="s">
        <v>25</v>
      </c>
    </row>
    <row r="29" spans="1:13" ht="37.5" x14ac:dyDescent="0.35">
      <c r="A29" s="5" t="s">
        <v>8</v>
      </c>
      <c r="B29" s="7" t="s">
        <v>133</v>
      </c>
      <c r="C29" s="7" t="s">
        <v>133</v>
      </c>
      <c r="D29" s="7" t="s">
        <v>133</v>
      </c>
      <c r="E29" s="7" t="s">
        <v>73</v>
      </c>
      <c r="F29" s="7" t="s">
        <v>73</v>
      </c>
      <c r="G29" s="7" t="s">
        <v>73</v>
      </c>
      <c r="H29" s="7" t="s">
        <v>81</v>
      </c>
      <c r="I29" s="7" t="s">
        <v>81</v>
      </c>
      <c r="J29" s="7" t="s">
        <v>81</v>
      </c>
      <c r="K29" s="7" t="s">
        <v>25</v>
      </c>
      <c r="L29" s="7" t="s">
        <v>25</v>
      </c>
      <c r="M29" s="7" t="s">
        <v>25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F2CB-A08B-4DF4-8541-9412FB87B460}">
  <sheetPr codeName="Sheet7"/>
  <dimension ref="A1:M39"/>
  <sheetViews>
    <sheetView topLeftCell="A22" workbookViewId="0">
      <selection activeCell="B22" sqref="B22:D29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44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0.13100000000000001</v>
      </c>
      <c r="C2" s="3">
        <v>0.124</v>
      </c>
      <c r="D2" s="3">
        <v>0.155</v>
      </c>
      <c r="E2" s="3">
        <v>6.9000000000000006E-2</v>
      </c>
      <c r="F2" s="3">
        <v>6.8000000000000005E-2</v>
      </c>
      <c r="G2" s="3">
        <v>6.9000000000000006E-2</v>
      </c>
      <c r="H2" s="3">
        <v>5.3999999999999999E-2</v>
      </c>
      <c r="I2" s="3">
        <v>5.3999999999999999E-2</v>
      </c>
      <c r="J2" s="3">
        <v>5.3999999999999999E-2</v>
      </c>
      <c r="K2" s="3">
        <v>6.6000000000000003E-2</v>
      </c>
      <c r="L2" s="3">
        <v>6.3E-2</v>
      </c>
      <c r="M2" s="3">
        <v>6.6000000000000003E-2</v>
      </c>
    </row>
    <row r="3" spans="1:13" x14ac:dyDescent="0.35">
      <c r="A3" s="2" t="s">
        <v>2</v>
      </c>
      <c r="B3" s="3">
        <v>6.6000000000000003E-2</v>
      </c>
      <c r="C3" s="3">
        <v>7.3999999999999996E-2</v>
      </c>
      <c r="D3" s="3">
        <v>8.6999999999999994E-2</v>
      </c>
      <c r="E3" s="3">
        <v>5.8000000000000003E-2</v>
      </c>
      <c r="F3" s="3">
        <v>5.6000000000000001E-2</v>
      </c>
      <c r="G3" s="3">
        <v>5.6000000000000001E-2</v>
      </c>
      <c r="H3" s="3">
        <v>6.6000000000000003E-2</v>
      </c>
      <c r="I3" s="3">
        <v>6.4000000000000001E-2</v>
      </c>
      <c r="J3" s="3">
        <v>6.4000000000000001E-2</v>
      </c>
      <c r="K3" s="3">
        <v>9.1999999999999998E-2</v>
      </c>
      <c r="L3" s="3">
        <v>0.09</v>
      </c>
      <c r="M3" s="3">
        <v>8.8999999999999996E-2</v>
      </c>
    </row>
    <row r="4" spans="1:13" x14ac:dyDescent="0.35">
      <c r="A4" s="2" t="s">
        <v>3</v>
      </c>
      <c r="B4" s="3">
        <v>4.4999999999999998E-2</v>
      </c>
      <c r="C4" s="3">
        <v>4.3999999999999997E-2</v>
      </c>
      <c r="D4" s="3">
        <v>4.2999999999999997E-2</v>
      </c>
      <c r="E4" s="3">
        <v>5.8000000000000003E-2</v>
      </c>
      <c r="F4" s="3">
        <v>5.3999999999999999E-2</v>
      </c>
      <c r="G4" s="3">
        <v>0.05</v>
      </c>
      <c r="H4" s="3">
        <v>4.9000000000000002E-2</v>
      </c>
      <c r="I4" s="3">
        <v>4.8000000000000001E-2</v>
      </c>
      <c r="J4" s="3">
        <v>4.8000000000000001E-2</v>
      </c>
      <c r="K4" s="3">
        <v>9.2999999999999999E-2</v>
      </c>
      <c r="L4" s="3">
        <v>9.1999999999999998E-2</v>
      </c>
      <c r="M4" s="3">
        <v>0.09</v>
      </c>
    </row>
    <row r="5" spans="1:13" x14ac:dyDescent="0.35">
      <c r="A5" s="2" t="s">
        <v>4</v>
      </c>
      <c r="B5" s="3">
        <v>3.7999999999999999E-2</v>
      </c>
      <c r="C5" s="3">
        <v>3.7999999999999999E-2</v>
      </c>
      <c r="D5" s="3">
        <v>3.7999999999999999E-2</v>
      </c>
      <c r="E5" s="3">
        <v>0.05</v>
      </c>
      <c r="F5" s="3">
        <v>0.05</v>
      </c>
      <c r="G5" s="3">
        <v>4.9000000000000002E-2</v>
      </c>
      <c r="H5" s="3">
        <v>5.3999999999999999E-2</v>
      </c>
      <c r="I5" s="3">
        <v>5.3999999999999999E-2</v>
      </c>
      <c r="J5" s="3">
        <v>5.5E-2</v>
      </c>
      <c r="K5" s="3">
        <v>0.105</v>
      </c>
      <c r="L5" s="3">
        <v>0.1</v>
      </c>
      <c r="M5" s="3">
        <v>0.104</v>
      </c>
    </row>
    <row r="6" spans="1:13" x14ac:dyDescent="0.35">
      <c r="A6" s="2" t="s">
        <v>5</v>
      </c>
      <c r="B6" s="3">
        <v>3.9E-2</v>
      </c>
      <c r="C6" s="3">
        <v>3.9E-2</v>
      </c>
      <c r="D6" s="3">
        <v>3.9E-2</v>
      </c>
      <c r="E6" s="3">
        <v>6.5000000000000002E-2</v>
      </c>
      <c r="F6" s="3">
        <v>6.4000000000000001E-2</v>
      </c>
      <c r="G6" s="3">
        <v>6.2E-2</v>
      </c>
      <c r="H6" s="3">
        <v>6.8000000000000005E-2</v>
      </c>
      <c r="I6" s="3">
        <v>6.6000000000000003E-2</v>
      </c>
      <c r="J6" s="3">
        <v>6.6000000000000003E-2</v>
      </c>
      <c r="K6" s="3">
        <v>4.8000000000000001E-2</v>
      </c>
      <c r="L6" s="3">
        <v>4.7E-2</v>
      </c>
      <c r="M6" s="3">
        <v>4.8000000000000001E-2</v>
      </c>
    </row>
    <row r="7" spans="1:13" x14ac:dyDescent="0.35">
      <c r="A7" s="2" t="s">
        <v>6</v>
      </c>
      <c r="B7" s="3">
        <v>3.9E-2</v>
      </c>
      <c r="C7" s="3">
        <v>3.9E-2</v>
      </c>
      <c r="D7" s="3">
        <v>3.7999999999999999E-2</v>
      </c>
      <c r="E7" s="3">
        <v>6.9000000000000006E-2</v>
      </c>
      <c r="F7" s="3">
        <v>6.5000000000000002E-2</v>
      </c>
      <c r="G7" s="3">
        <v>6.6000000000000003E-2</v>
      </c>
      <c r="H7" s="3">
        <v>6.7000000000000004E-2</v>
      </c>
      <c r="I7" s="3">
        <v>6.7000000000000004E-2</v>
      </c>
      <c r="J7" s="3">
        <v>6.6000000000000003E-2</v>
      </c>
      <c r="K7" s="3">
        <v>4.7E-2</v>
      </c>
      <c r="L7" s="3">
        <v>4.7E-2</v>
      </c>
      <c r="M7" s="3">
        <v>4.8000000000000001E-2</v>
      </c>
    </row>
    <row r="8" spans="1:13" x14ac:dyDescent="0.35">
      <c r="A8" s="2" t="s">
        <v>7</v>
      </c>
      <c r="B8" s="3">
        <v>3.7999999999999999E-2</v>
      </c>
      <c r="C8" s="3">
        <v>3.7999999999999999E-2</v>
      </c>
      <c r="D8" s="3">
        <v>3.7999999999999999E-2</v>
      </c>
      <c r="E8" s="3">
        <v>0.05</v>
      </c>
      <c r="F8" s="3">
        <v>4.9000000000000002E-2</v>
      </c>
      <c r="G8" s="3">
        <v>4.9000000000000002E-2</v>
      </c>
      <c r="H8" s="3">
        <v>6.9000000000000006E-2</v>
      </c>
      <c r="I8" s="3">
        <v>6.6000000000000003E-2</v>
      </c>
      <c r="J8" s="3">
        <v>6.6000000000000003E-2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3.6999999999999998E-2</v>
      </c>
      <c r="D9" s="3">
        <v>3.7999999999999999E-2</v>
      </c>
      <c r="E9" s="3">
        <v>5.8000000000000003E-2</v>
      </c>
      <c r="F9" s="3">
        <v>5.7000000000000002E-2</v>
      </c>
      <c r="G9" s="3">
        <v>5.7000000000000002E-2</v>
      </c>
      <c r="H9" s="3">
        <v>0.159</v>
      </c>
      <c r="I9" s="3">
        <v>0.128</v>
      </c>
      <c r="J9" s="3">
        <v>0.156</v>
      </c>
      <c r="K9" s="3">
        <v>4.7E-2</v>
      </c>
      <c r="L9" s="3">
        <v>4.7E-2</v>
      </c>
      <c r="M9" s="3">
        <v>4.7E-2</v>
      </c>
    </row>
    <row r="11" spans="1:13" x14ac:dyDescent="0.35">
      <c r="A11" s="1" t="s">
        <v>45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0.29699999999999999</v>
      </c>
      <c r="C12" s="3">
        <v>0.29299999999999998</v>
      </c>
      <c r="D12" s="3">
        <v>0.29299999999999998</v>
      </c>
      <c r="E12" s="3">
        <v>6.8000000000000005E-2</v>
      </c>
      <c r="F12" s="3">
        <v>6.7000000000000004E-2</v>
      </c>
      <c r="G12" s="3">
        <v>6.7000000000000004E-2</v>
      </c>
      <c r="H12" s="3">
        <v>5.7000000000000002E-2</v>
      </c>
      <c r="I12" s="3">
        <v>5.5E-2</v>
      </c>
      <c r="J12" s="3">
        <v>5.3999999999999999E-2</v>
      </c>
      <c r="K12" s="3">
        <v>6.5000000000000002E-2</v>
      </c>
      <c r="L12" s="3">
        <v>6.3E-2</v>
      </c>
      <c r="M12" s="3">
        <v>6.5000000000000002E-2</v>
      </c>
    </row>
    <row r="13" spans="1:13" x14ac:dyDescent="0.35">
      <c r="A13" s="2" t="s">
        <v>2</v>
      </c>
      <c r="B13" s="3">
        <v>0.104</v>
      </c>
      <c r="C13" s="3">
        <v>0.114</v>
      </c>
      <c r="D13" s="3">
        <v>0.11899999999999999</v>
      </c>
      <c r="E13" s="3">
        <v>5.8999999999999997E-2</v>
      </c>
      <c r="F13" s="3">
        <v>5.7000000000000002E-2</v>
      </c>
      <c r="G13" s="3">
        <v>5.6000000000000001E-2</v>
      </c>
      <c r="H13" s="3">
        <v>6.6000000000000003E-2</v>
      </c>
      <c r="I13" s="3">
        <v>6.3E-2</v>
      </c>
      <c r="J13" s="3">
        <v>6.5000000000000002E-2</v>
      </c>
      <c r="K13" s="3">
        <v>0.09</v>
      </c>
      <c r="L13" s="3">
        <v>8.7999999999999995E-2</v>
      </c>
      <c r="M13" s="3">
        <v>8.8999999999999996E-2</v>
      </c>
    </row>
    <row r="14" spans="1:13" x14ac:dyDescent="0.35">
      <c r="A14" s="2" t="s">
        <v>3</v>
      </c>
      <c r="B14" s="3">
        <v>5.1999999999999998E-2</v>
      </c>
      <c r="C14" s="3">
        <v>5.1999999999999998E-2</v>
      </c>
      <c r="D14" s="3">
        <v>0.05</v>
      </c>
      <c r="E14" s="3">
        <v>5.5E-2</v>
      </c>
      <c r="F14" s="3">
        <v>5.8000000000000003E-2</v>
      </c>
      <c r="G14" s="3">
        <v>5.5E-2</v>
      </c>
      <c r="H14" s="3">
        <v>4.9000000000000002E-2</v>
      </c>
      <c r="I14" s="3">
        <v>4.9000000000000002E-2</v>
      </c>
      <c r="J14" s="3">
        <v>4.9000000000000002E-2</v>
      </c>
      <c r="K14" s="3">
        <v>9.1999999999999998E-2</v>
      </c>
      <c r="L14" s="3">
        <v>9.2999999999999999E-2</v>
      </c>
      <c r="M14" s="3">
        <v>8.8999999999999996E-2</v>
      </c>
    </row>
    <row r="15" spans="1:13" x14ac:dyDescent="0.35">
      <c r="A15" s="2" t="s">
        <v>4</v>
      </c>
      <c r="B15" s="3">
        <v>0.04</v>
      </c>
      <c r="C15" s="3">
        <v>3.7999999999999999E-2</v>
      </c>
      <c r="D15" s="3">
        <v>3.7999999999999999E-2</v>
      </c>
      <c r="E15" s="3">
        <v>5.1999999999999998E-2</v>
      </c>
      <c r="F15" s="3">
        <v>0.05</v>
      </c>
      <c r="G15" s="3">
        <v>0.05</v>
      </c>
      <c r="H15" s="3">
        <v>5.3999999999999999E-2</v>
      </c>
      <c r="I15" s="3">
        <v>5.3999999999999999E-2</v>
      </c>
      <c r="J15" s="3">
        <v>5.6000000000000001E-2</v>
      </c>
      <c r="K15" s="3">
        <v>0.105</v>
      </c>
      <c r="L15" s="3">
        <v>0.10100000000000001</v>
      </c>
      <c r="M15" s="3">
        <v>0.10199999999999999</v>
      </c>
    </row>
    <row r="16" spans="1:13" x14ac:dyDescent="0.35">
      <c r="A16" s="2" t="s">
        <v>5</v>
      </c>
      <c r="B16" s="3">
        <v>0.17299999999999999</v>
      </c>
      <c r="C16" s="3">
        <v>0.19400000000000001</v>
      </c>
      <c r="D16" s="3">
        <v>0.123</v>
      </c>
      <c r="E16" s="3">
        <v>6.3E-2</v>
      </c>
      <c r="F16" s="3">
        <v>6.4000000000000001E-2</v>
      </c>
      <c r="G16" s="3">
        <v>6.2E-2</v>
      </c>
      <c r="H16" s="3">
        <v>6.7000000000000004E-2</v>
      </c>
      <c r="I16" s="3">
        <v>6.6000000000000003E-2</v>
      </c>
      <c r="J16" s="3">
        <v>6.6000000000000003E-2</v>
      </c>
      <c r="K16" s="3">
        <v>4.8000000000000001E-2</v>
      </c>
      <c r="L16" s="3">
        <v>4.7E-2</v>
      </c>
      <c r="M16" s="3">
        <v>4.8000000000000001E-2</v>
      </c>
    </row>
    <row r="17" spans="1:13" x14ac:dyDescent="0.35">
      <c r="A17" s="2" t="s">
        <v>6</v>
      </c>
      <c r="B17" s="3">
        <v>8.3000000000000004E-2</v>
      </c>
      <c r="C17" s="3">
        <v>7.6999999999999999E-2</v>
      </c>
      <c r="D17" s="3">
        <v>5.7000000000000002E-2</v>
      </c>
      <c r="E17" s="3">
        <v>6.9000000000000006E-2</v>
      </c>
      <c r="F17" s="3">
        <v>6.7000000000000004E-2</v>
      </c>
      <c r="G17" s="3">
        <v>6.6000000000000003E-2</v>
      </c>
      <c r="H17" s="3">
        <v>6.6000000000000003E-2</v>
      </c>
      <c r="I17" s="3">
        <v>6.7000000000000004E-2</v>
      </c>
      <c r="J17" s="3">
        <v>6.7000000000000004E-2</v>
      </c>
      <c r="K17" s="3">
        <v>4.7E-2</v>
      </c>
      <c r="L17" s="3">
        <v>4.7E-2</v>
      </c>
      <c r="M17" s="3">
        <v>4.7E-2</v>
      </c>
    </row>
    <row r="18" spans="1:13" x14ac:dyDescent="0.35">
      <c r="A18" s="2" t="s">
        <v>7</v>
      </c>
      <c r="B18" s="3">
        <v>4.5999999999999999E-2</v>
      </c>
      <c r="C18" s="3">
        <v>4.5999999999999999E-2</v>
      </c>
      <c r="D18" s="3">
        <v>4.4999999999999998E-2</v>
      </c>
      <c r="E18" s="3">
        <v>5.0999999999999997E-2</v>
      </c>
      <c r="F18" s="3">
        <v>0.05</v>
      </c>
      <c r="G18" s="3">
        <v>0.05</v>
      </c>
      <c r="H18" s="3">
        <v>6.9000000000000006E-2</v>
      </c>
      <c r="I18" s="3">
        <v>6.7000000000000004E-2</v>
      </c>
      <c r="J18" s="3">
        <v>6.6000000000000003E-2</v>
      </c>
      <c r="K18" s="3">
        <v>4.7E-2</v>
      </c>
      <c r="L18" s="3">
        <v>4.7E-2</v>
      </c>
      <c r="M18" s="3">
        <v>4.8000000000000001E-2</v>
      </c>
    </row>
    <row r="19" spans="1:13" x14ac:dyDescent="0.35">
      <c r="A19" s="2" t="s">
        <v>8</v>
      </c>
      <c r="B19" s="3">
        <v>4.2000000000000003E-2</v>
      </c>
      <c r="C19" s="3">
        <v>3.7999999999999999E-2</v>
      </c>
      <c r="D19" s="3">
        <v>3.7999999999999999E-2</v>
      </c>
      <c r="E19" s="3">
        <v>5.8000000000000003E-2</v>
      </c>
      <c r="F19" s="3">
        <v>5.8000000000000003E-2</v>
      </c>
      <c r="G19" s="3">
        <v>5.7000000000000002E-2</v>
      </c>
      <c r="H19" s="3">
        <v>0.21299999999999999</v>
      </c>
      <c r="I19" s="3">
        <v>0.17</v>
      </c>
      <c r="J19" s="3">
        <v>0.20499999999999999</v>
      </c>
      <c r="K19" s="3">
        <v>4.7E-2</v>
      </c>
      <c r="L19" s="3">
        <v>4.7E-2</v>
      </c>
      <c r="M19" s="3">
        <v>4.8000000000000001E-2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122</v>
      </c>
      <c r="C22" s="6" t="s">
        <v>122</v>
      </c>
      <c r="D22" s="6" t="s">
        <v>122</v>
      </c>
      <c r="E22" s="7" t="s">
        <v>87</v>
      </c>
      <c r="F22" s="7" t="s">
        <v>87</v>
      </c>
      <c r="G22" s="7" t="s">
        <v>87</v>
      </c>
      <c r="H22" s="7" t="s">
        <v>95</v>
      </c>
      <c r="I22" s="7" t="s">
        <v>95</v>
      </c>
      <c r="J22" s="7" t="s">
        <v>95</v>
      </c>
      <c r="K22" s="7" t="s">
        <v>103</v>
      </c>
      <c r="L22" s="7" t="s">
        <v>103</v>
      </c>
      <c r="M22" s="7" t="s">
        <v>103</v>
      </c>
    </row>
    <row r="23" spans="1:13" ht="37.5" x14ac:dyDescent="0.35">
      <c r="A23" s="5" t="s">
        <v>2</v>
      </c>
      <c r="B23" s="6" t="s">
        <v>125</v>
      </c>
      <c r="C23" s="6" t="s">
        <v>125</v>
      </c>
      <c r="D23" s="6" t="s">
        <v>125</v>
      </c>
      <c r="E23" s="7" t="s">
        <v>88</v>
      </c>
      <c r="F23" s="7" t="s">
        <v>88</v>
      </c>
      <c r="G23" s="7" t="s">
        <v>88</v>
      </c>
      <c r="H23" s="7" t="s">
        <v>96</v>
      </c>
      <c r="I23" s="7" t="s">
        <v>96</v>
      </c>
      <c r="J23" s="7" t="s">
        <v>96</v>
      </c>
      <c r="K23" s="7" t="s">
        <v>104</v>
      </c>
      <c r="L23" s="7" t="s">
        <v>104</v>
      </c>
      <c r="M23" s="7" t="s">
        <v>104</v>
      </c>
    </row>
    <row r="24" spans="1:13" ht="37.5" x14ac:dyDescent="0.35">
      <c r="A24" s="5" t="s">
        <v>3</v>
      </c>
      <c r="B24" s="6" t="s">
        <v>128</v>
      </c>
      <c r="C24" s="6" t="s">
        <v>128</v>
      </c>
      <c r="D24" s="6" t="s">
        <v>128</v>
      </c>
      <c r="E24" s="7" t="s">
        <v>89</v>
      </c>
      <c r="F24" s="7" t="s">
        <v>89</v>
      </c>
      <c r="G24" s="7" t="s">
        <v>89</v>
      </c>
      <c r="H24" s="7" t="s">
        <v>101</v>
      </c>
      <c r="I24" s="7" t="s">
        <v>101</v>
      </c>
      <c r="J24" s="7" t="s">
        <v>101</v>
      </c>
      <c r="K24" s="7" t="s">
        <v>105</v>
      </c>
      <c r="L24" s="7" t="s">
        <v>105</v>
      </c>
      <c r="M24" s="7" t="s">
        <v>105</v>
      </c>
    </row>
    <row r="25" spans="1:13" ht="37.5" x14ac:dyDescent="0.35">
      <c r="A25" s="5" t="s">
        <v>4</v>
      </c>
      <c r="B25" s="23" t="s">
        <v>133</v>
      </c>
      <c r="C25" s="23" t="s">
        <v>133</v>
      </c>
      <c r="D25" s="23" t="s">
        <v>133</v>
      </c>
      <c r="E25" s="7" t="s">
        <v>90</v>
      </c>
      <c r="F25" s="7" t="s">
        <v>90</v>
      </c>
      <c r="G25" s="7" t="s">
        <v>90</v>
      </c>
      <c r="H25" s="7" t="s">
        <v>100</v>
      </c>
      <c r="I25" s="7" t="s">
        <v>100</v>
      </c>
      <c r="J25" s="7" t="s">
        <v>100</v>
      </c>
      <c r="K25" s="7" t="s">
        <v>106</v>
      </c>
      <c r="L25" s="7" t="s">
        <v>106</v>
      </c>
      <c r="M25" s="7" t="s">
        <v>106</v>
      </c>
    </row>
    <row r="26" spans="1:13" ht="25" x14ac:dyDescent="0.35">
      <c r="A26" s="5" t="s">
        <v>5</v>
      </c>
      <c r="B26" s="7" t="s">
        <v>134</v>
      </c>
      <c r="C26" s="7" t="s">
        <v>134</v>
      </c>
      <c r="D26" s="7" t="s">
        <v>134</v>
      </c>
      <c r="E26" s="7" t="s">
        <v>91</v>
      </c>
      <c r="F26" s="7" t="s">
        <v>91</v>
      </c>
      <c r="G26" s="7" t="s">
        <v>91</v>
      </c>
      <c r="H26" s="7" t="s">
        <v>97</v>
      </c>
      <c r="I26" s="7" t="s">
        <v>97</v>
      </c>
      <c r="J26" s="7" t="s">
        <v>97</v>
      </c>
      <c r="K26" s="7" t="s">
        <v>25</v>
      </c>
      <c r="L26" s="7" t="s">
        <v>25</v>
      </c>
      <c r="M26" s="7" t="s">
        <v>25</v>
      </c>
    </row>
    <row r="27" spans="1:13" ht="25" x14ac:dyDescent="0.35">
      <c r="A27" s="5" t="s">
        <v>6</v>
      </c>
      <c r="B27" s="7" t="s">
        <v>137</v>
      </c>
      <c r="C27" s="7" t="s">
        <v>137</v>
      </c>
      <c r="D27" s="7" t="s">
        <v>137</v>
      </c>
      <c r="E27" s="7" t="s">
        <v>92</v>
      </c>
      <c r="F27" s="7" t="s">
        <v>92</v>
      </c>
      <c r="G27" s="7" t="s">
        <v>92</v>
      </c>
      <c r="H27" s="7" t="s">
        <v>98</v>
      </c>
      <c r="I27" s="7" t="s">
        <v>98</v>
      </c>
      <c r="J27" s="7" t="s">
        <v>98</v>
      </c>
      <c r="K27" s="7" t="s">
        <v>25</v>
      </c>
      <c r="L27" s="7" t="s">
        <v>25</v>
      </c>
      <c r="M27" s="7" t="s">
        <v>25</v>
      </c>
    </row>
    <row r="28" spans="1:13" ht="37.5" x14ac:dyDescent="0.35">
      <c r="A28" s="5" t="s">
        <v>7</v>
      </c>
      <c r="B28" s="7" t="s">
        <v>140</v>
      </c>
      <c r="C28" s="7" t="s">
        <v>140</v>
      </c>
      <c r="D28" s="7" t="s">
        <v>140</v>
      </c>
      <c r="E28" s="7" t="s">
        <v>93</v>
      </c>
      <c r="F28" s="7" t="s">
        <v>93</v>
      </c>
      <c r="G28" s="7" t="s">
        <v>93</v>
      </c>
      <c r="H28" s="7" t="s">
        <v>99</v>
      </c>
      <c r="I28" s="7" t="s">
        <v>99</v>
      </c>
      <c r="J28" s="7" t="s">
        <v>99</v>
      </c>
      <c r="K28" s="7" t="s">
        <v>25</v>
      </c>
      <c r="L28" s="7" t="s">
        <v>25</v>
      </c>
      <c r="M28" s="7" t="s">
        <v>25</v>
      </c>
    </row>
    <row r="29" spans="1:13" ht="37.5" x14ac:dyDescent="0.35">
      <c r="A29" s="5" t="s">
        <v>8</v>
      </c>
      <c r="B29" s="7" t="s">
        <v>133</v>
      </c>
      <c r="C29" s="7" t="s">
        <v>133</v>
      </c>
      <c r="D29" s="7" t="s">
        <v>133</v>
      </c>
      <c r="E29" s="7" t="s">
        <v>94</v>
      </c>
      <c r="F29" s="7" t="s">
        <v>94</v>
      </c>
      <c r="G29" s="7" t="s">
        <v>94</v>
      </c>
      <c r="H29" s="7" t="s">
        <v>102</v>
      </c>
      <c r="I29" s="7" t="s">
        <v>102</v>
      </c>
      <c r="J29" s="7" t="s">
        <v>102</v>
      </c>
      <c r="K29" s="7" t="s">
        <v>25</v>
      </c>
      <c r="L29" s="7" t="s">
        <v>25</v>
      </c>
      <c r="M29" s="7" t="s">
        <v>25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7AAF-287C-43F9-8C0B-4ACAD567778D}">
  <sheetPr codeName="Sheet8"/>
  <dimension ref="A1:M39"/>
  <sheetViews>
    <sheetView tabSelected="1" workbookViewId="0">
      <selection activeCell="G7" sqref="G7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44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0.16700000000000001</v>
      </c>
      <c r="C2" s="3">
        <v>0.16700000000000001</v>
      </c>
      <c r="D2" s="3">
        <v>0.18099999999999999</v>
      </c>
      <c r="E2" s="3">
        <v>4.9000000000000002E-2</v>
      </c>
      <c r="F2" s="3">
        <v>4.9000000000000002E-2</v>
      </c>
      <c r="G2" s="3">
        <v>4.9000000000000002E-2</v>
      </c>
      <c r="H2" s="3">
        <v>5.8000000000000003E-2</v>
      </c>
      <c r="I2" s="3">
        <v>5.5E-2</v>
      </c>
      <c r="J2" s="3">
        <v>5.8000000000000003E-2</v>
      </c>
      <c r="K2" s="3">
        <v>4.9000000000000002E-2</v>
      </c>
      <c r="L2" s="3">
        <v>4.8000000000000001E-2</v>
      </c>
      <c r="M2" s="3">
        <v>4.7E-2</v>
      </c>
    </row>
    <row r="3" spans="1:13" x14ac:dyDescent="0.35">
      <c r="A3" s="2" t="s">
        <v>2</v>
      </c>
      <c r="B3" s="3">
        <v>6.8000000000000005E-2</v>
      </c>
      <c r="C3" s="3">
        <v>8.2000000000000003E-2</v>
      </c>
      <c r="D3" s="3">
        <v>7.5999999999999998E-2</v>
      </c>
      <c r="E3" s="3">
        <v>8.1000000000000003E-2</v>
      </c>
      <c r="F3" s="3">
        <v>8.2000000000000003E-2</v>
      </c>
      <c r="G3" s="3">
        <v>7.9000000000000001E-2</v>
      </c>
      <c r="H3" s="3">
        <v>0.04</v>
      </c>
      <c r="I3" s="3">
        <v>0.04</v>
      </c>
      <c r="J3" s="3">
        <v>3.9E-2</v>
      </c>
      <c r="K3" s="3">
        <v>4.7E-2</v>
      </c>
      <c r="L3" s="3">
        <v>4.7E-2</v>
      </c>
      <c r="M3" s="3">
        <v>4.7E-2</v>
      </c>
    </row>
    <row r="4" spans="1:13" x14ac:dyDescent="0.35">
      <c r="A4" s="2" t="s">
        <v>3</v>
      </c>
      <c r="B4" s="3">
        <v>4.2999999999999997E-2</v>
      </c>
      <c r="C4" s="3">
        <v>4.2000000000000003E-2</v>
      </c>
      <c r="D4" s="3">
        <v>4.3999999999999997E-2</v>
      </c>
      <c r="E4" s="3">
        <v>4.5999999999999999E-2</v>
      </c>
      <c r="F4" s="3">
        <v>4.5999999999999999E-2</v>
      </c>
      <c r="G4" s="3">
        <v>4.4999999999999998E-2</v>
      </c>
      <c r="H4" s="3">
        <v>4.2999999999999997E-2</v>
      </c>
      <c r="I4" s="3">
        <v>5.2999999999999999E-2</v>
      </c>
      <c r="J4" s="3">
        <v>4.2000000000000003E-2</v>
      </c>
      <c r="K4" s="3">
        <v>4.7E-2</v>
      </c>
      <c r="L4" s="3">
        <v>4.8000000000000001E-2</v>
      </c>
      <c r="M4" s="3">
        <v>4.7E-2</v>
      </c>
    </row>
    <row r="5" spans="1:13" x14ac:dyDescent="0.35">
      <c r="A5" s="2" t="s">
        <v>4</v>
      </c>
      <c r="B5" s="3">
        <v>5.1999999999999998E-2</v>
      </c>
      <c r="C5" s="3">
        <v>9.4E-2</v>
      </c>
      <c r="D5" s="3">
        <v>3.7999999999999999E-2</v>
      </c>
      <c r="E5" s="3">
        <v>4.4999999999999998E-2</v>
      </c>
      <c r="F5" s="3">
        <v>4.5999999999999999E-2</v>
      </c>
      <c r="G5" s="3">
        <v>0.05</v>
      </c>
      <c r="H5" s="3">
        <v>4.2999999999999997E-2</v>
      </c>
      <c r="I5" s="3">
        <v>4.2000000000000003E-2</v>
      </c>
      <c r="J5" s="3">
        <v>4.2000000000000003E-2</v>
      </c>
      <c r="K5" s="3">
        <v>4.8000000000000001E-2</v>
      </c>
      <c r="L5" s="3">
        <v>0.05</v>
      </c>
      <c r="M5" s="3">
        <v>4.8000000000000001E-2</v>
      </c>
    </row>
    <row r="6" spans="1:13" x14ac:dyDescent="0.35">
      <c r="A6" s="2" t="s">
        <v>5</v>
      </c>
      <c r="B6" s="3">
        <v>0.04</v>
      </c>
      <c r="C6" s="3">
        <v>3.7999999999999999E-2</v>
      </c>
      <c r="D6" s="3">
        <v>3.9E-2</v>
      </c>
      <c r="E6" s="3">
        <v>4.7E-2</v>
      </c>
      <c r="F6" s="3">
        <v>4.5999999999999999E-2</v>
      </c>
      <c r="G6" s="3">
        <v>4.5999999999999999E-2</v>
      </c>
      <c r="H6" s="3">
        <v>8.2000000000000003E-2</v>
      </c>
      <c r="I6" s="3">
        <v>8.1000000000000003E-2</v>
      </c>
      <c r="J6" s="3">
        <v>0.08</v>
      </c>
      <c r="K6" s="3">
        <v>4.8000000000000001E-2</v>
      </c>
      <c r="L6" s="3">
        <v>4.7E-2</v>
      </c>
      <c r="M6" s="3">
        <v>4.7E-2</v>
      </c>
    </row>
    <row r="7" spans="1:13" x14ac:dyDescent="0.35">
      <c r="A7" s="2" t="s">
        <v>6</v>
      </c>
      <c r="B7" s="3">
        <v>3.6999999999999998E-2</v>
      </c>
      <c r="C7" s="3">
        <v>3.7999999999999999E-2</v>
      </c>
      <c r="D7" s="3">
        <v>3.7999999999999999E-2</v>
      </c>
      <c r="E7" s="3">
        <v>4.8000000000000001E-2</v>
      </c>
      <c r="F7" s="3">
        <v>4.7E-2</v>
      </c>
      <c r="G7" s="3">
        <v>4.7E-2</v>
      </c>
      <c r="H7" s="3">
        <v>0.159</v>
      </c>
      <c r="I7" s="3">
        <v>0.18099999999999999</v>
      </c>
      <c r="J7" s="3">
        <v>0.16700000000000001</v>
      </c>
      <c r="K7" s="3">
        <v>4.7E-2</v>
      </c>
      <c r="L7" s="3">
        <v>4.7E-2</v>
      </c>
      <c r="M7" s="3">
        <v>4.7E-2</v>
      </c>
    </row>
    <row r="8" spans="1:13" x14ac:dyDescent="0.35">
      <c r="A8" s="2" t="s">
        <v>7</v>
      </c>
      <c r="B8" s="3">
        <v>3.7999999999999999E-2</v>
      </c>
      <c r="C8" s="3">
        <v>3.6999999999999998E-2</v>
      </c>
      <c r="D8" s="3">
        <v>3.6999999999999998E-2</v>
      </c>
      <c r="E8" s="3">
        <v>6.3E-2</v>
      </c>
      <c r="F8" s="3">
        <v>6.3E-2</v>
      </c>
      <c r="G8" s="3">
        <v>6.2E-2</v>
      </c>
      <c r="H8" s="3">
        <v>4.8000000000000001E-2</v>
      </c>
      <c r="I8" s="3">
        <v>4.7E-2</v>
      </c>
      <c r="J8" s="3">
        <v>4.7E-2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3.6999999999999998E-2</v>
      </c>
      <c r="D9" s="3">
        <v>3.7999999999999999E-2</v>
      </c>
      <c r="E9" s="3">
        <v>5.3999999999999999E-2</v>
      </c>
      <c r="F9" s="3">
        <v>5.2999999999999999E-2</v>
      </c>
      <c r="G9" s="3">
        <v>5.1999999999999998E-2</v>
      </c>
      <c r="H9" s="3">
        <v>4.7E-2</v>
      </c>
      <c r="I9" s="3">
        <v>4.7E-2</v>
      </c>
      <c r="J9" s="3">
        <v>4.8000000000000001E-2</v>
      </c>
      <c r="K9" s="3">
        <v>4.7E-2</v>
      </c>
      <c r="L9" s="3">
        <v>4.7E-2</v>
      </c>
      <c r="M9" s="3">
        <v>4.7E-2</v>
      </c>
    </row>
    <row r="11" spans="1:13" x14ac:dyDescent="0.35">
      <c r="A11" s="1" t="s">
        <v>45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0.27700000000000002</v>
      </c>
      <c r="C12" s="3">
        <v>0.308</v>
      </c>
      <c r="D12" s="3">
        <v>0.30299999999999999</v>
      </c>
      <c r="E12" s="3">
        <v>5.0999999999999997E-2</v>
      </c>
      <c r="F12" s="3">
        <v>5.0999999999999997E-2</v>
      </c>
      <c r="G12" s="3">
        <v>0.05</v>
      </c>
      <c r="H12" s="3">
        <v>5.8000000000000003E-2</v>
      </c>
      <c r="I12" s="3">
        <v>5.6000000000000001E-2</v>
      </c>
      <c r="J12" s="3">
        <v>5.8000000000000003E-2</v>
      </c>
      <c r="K12" s="3">
        <v>4.9000000000000002E-2</v>
      </c>
      <c r="L12" s="3">
        <v>4.7E-2</v>
      </c>
      <c r="M12" s="3">
        <v>4.5999999999999999E-2</v>
      </c>
    </row>
    <row r="13" spans="1:13" x14ac:dyDescent="0.35">
      <c r="A13" s="2" t="s">
        <v>2</v>
      </c>
      <c r="B13" s="3">
        <v>0.113</v>
      </c>
      <c r="C13" s="3">
        <v>0.115</v>
      </c>
      <c r="D13" s="3">
        <v>0.115</v>
      </c>
      <c r="E13" s="3">
        <v>0.11</v>
      </c>
      <c r="F13" s="3">
        <v>0.111</v>
      </c>
      <c r="G13" s="3">
        <v>0.104</v>
      </c>
      <c r="H13" s="3">
        <v>4.3999999999999997E-2</v>
      </c>
      <c r="I13" s="3">
        <v>4.3999999999999997E-2</v>
      </c>
      <c r="J13" s="3">
        <v>4.2999999999999997E-2</v>
      </c>
      <c r="K13" s="3">
        <v>4.7E-2</v>
      </c>
      <c r="L13" s="3">
        <v>4.7E-2</v>
      </c>
      <c r="M13" s="3">
        <v>4.5999999999999999E-2</v>
      </c>
    </row>
    <row r="14" spans="1:13" x14ac:dyDescent="0.35">
      <c r="A14" s="2" t="s">
        <v>3</v>
      </c>
      <c r="B14" s="3">
        <v>5.0999999999999997E-2</v>
      </c>
      <c r="C14" s="3">
        <v>4.9000000000000002E-2</v>
      </c>
      <c r="D14" s="3">
        <v>0.05</v>
      </c>
      <c r="E14" s="3">
        <v>4.8000000000000001E-2</v>
      </c>
      <c r="F14" s="3">
        <v>4.8000000000000001E-2</v>
      </c>
      <c r="G14" s="3">
        <v>4.8000000000000001E-2</v>
      </c>
      <c r="H14" s="3">
        <v>6.3E-2</v>
      </c>
      <c r="I14" s="3">
        <v>7.2999999999999995E-2</v>
      </c>
      <c r="J14" s="3">
        <v>0.06</v>
      </c>
      <c r="K14" s="3">
        <v>4.7E-2</v>
      </c>
      <c r="L14" s="3">
        <v>4.7E-2</v>
      </c>
      <c r="M14" s="3">
        <v>4.7E-2</v>
      </c>
    </row>
    <row r="15" spans="1:13" x14ac:dyDescent="0.35">
      <c r="A15" s="2" t="s">
        <v>4</v>
      </c>
      <c r="B15" s="3">
        <v>5.1999999999999998E-2</v>
      </c>
      <c r="C15" s="3">
        <v>9.4E-2</v>
      </c>
      <c r="D15" s="3">
        <v>3.7999999999999999E-2</v>
      </c>
      <c r="E15" s="3">
        <v>4.9000000000000002E-2</v>
      </c>
      <c r="F15" s="3">
        <v>0.05</v>
      </c>
      <c r="G15" s="3">
        <v>5.3999999999999999E-2</v>
      </c>
      <c r="H15" s="3">
        <v>0.06</v>
      </c>
      <c r="I15" s="3">
        <v>5.7000000000000002E-2</v>
      </c>
      <c r="J15" s="3">
        <v>6.2E-2</v>
      </c>
      <c r="K15" s="3">
        <v>4.7E-2</v>
      </c>
      <c r="L15" s="3">
        <v>0.05</v>
      </c>
      <c r="M15" s="3">
        <v>4.7E-2</v>
      </c>
    </row>
    <row r="16" spans="1:13" x14ac:dyDescent="0.35">
      <c r="A16" s="2" t="s">
        <v>5</v>
      </c>
      <c r="B16" s="3">
        <v>0.183</v>
      </c>
      <c r="C16" s="3">
        <v>0.17100000000000001</v>
      </c>
      <c r="D16" s="3">
        <v>0.15</v>
      </c>
      <c r="E16" s="3">
        <v>4.8000000000000001E-2</v>
      </c>
      <c r="F16" s="3">
        <v>4.7E-2</v>
      </c>
      <c r="G16" s="3">
        <v>4.7E-2</v>
      </c>
      <c r="H16" s="3">
        <v>8.1000000000000003E-2</v>
      </c>
      <c r="I16" s="3">
        <v>0.08</v>
      </c>
      <c r="J16" s="3">
        <v>7.8E-2</v>
      </c>
      <c r="K16" s="3">
        <v>4.8000000000000001E-2</v>
      </c>
      <c r="L16" s="3">
        <v>4.7E-2</v>
      </c>
      <c r="M16" s="3">
        <v>4.7E-2</v>
      </c>
    </row>
    <row r="17" spans="1:13" x14ac:dyDescent="0.35">
      <c r="A17" s="2" t="s">
        <v>6</v>
      </c>
      <c r="B17" s="3">
        <v>7.9000000000000001E-2</v>
      </c>
      <c r="C17" s="3">
        <v>8.4000000000000005E-2</v>
      </c>
      <c r="D17" s="3">
        <v>7.5999999999999998E-2</v>
      </c>
      <c r="E17" s="3">
        <v>4.9000000000000002E-2</v>
      </c>
      <c r="F17" s="3">
        <v>4.9000000000000002E-2</v>
      </c>
      <c r="G17" s="3">
        <v>4.8000000000000001E-2</v>
      </c>
      <c r="H17" s="3">
        <v>0.216</v>
      </c>
      <c r="I17" s="3">
        <v>0.24199999999999999</v>
      </c>
      <c r="J17" s="3">
        <v>0.22900000000000001</v>
      </c>
      <c r="K17" s="3">
        <v>4.7E-2</v>
      </c>
      <c r="L17" s="3">
        <v>4.7E-2</v>
      </c>
      <c r="M17" s="3">
        <v>4.7E-2</v>
      </c>
    </row>
    <row r="18" spans="1:13" x14ac:dyDescent="0.35">
      <c r="A18" s="2" t="s">
        <v>7</v>
      </c>
      <c r="B18" s="3">
        <v>4.2999999999999997E-2</v>
      </c>
      <c r="C18" s="3">
        <v>4.4999999999999998E-2</v>
      </c>
      <c r="D18" s="3">
        <v>4.5999999999999999E-2</v>
      </c>
      <c r="E18" s="3">
        <v>6.4000000000000001E-2</v>
      </c>
      <c r="F18" s="3">
        <v>6.3E-2</v>
      </c>
      <c r="G18" s="3">
        <v>6.3E-2</v>
      </c>
      <c r="H18" s="3">
        <v>7.8E-2</v>
      </c>
      <c r="I18" s="3">
        <v>7.6999999999999999E-2</v>
      </c>
      <c r="J18" s="3">
        <v>6.6000000000000003E-2</v>
      </c>
      <c r="K18" s="3">
        <v>4.7E-2</v>
      </c>
      <c r="L18" s="3">
        <v>4.7E-2</v>
      </c>
      <c r="M18" s="3">
        <v>4.5999999999999999E-2</v>
      </c>
    </row>
    <row r="19" spans="1:13" x14ac:dyDescent="0.35">
      <c r="A19" s="2" t="s">
        <v>8</v>
      </c>
      <c r="B19" s="3">
        <v>3.7999999999999999E-2</v>
      </c>
      <c r="C19" s="3">
        <v>3.7999999999999999E-2</v>
      </c>
      <c r="D19" s="3">
        <v>3.7999999999999999E-2</v>
      </c>
      <c r="E19" s="3">
        <v>5.3999999999999999E-2</v>
      </c>
      <c r="F19" s="3">
        <v>5.2999999999999999E-2</v>
      </c>
      <c r="G19" s="3">
        <v>5.2999999999999999E-2</v>
      </c>
      <c r="H19" s="3">
        <v>4.5999999999999999E-2</v>
      </c>
      <c r="I19" s="3">
        <v>4.7E-2</v>
      </c>
      <c r="J19" s="3">
        <v>4.8000000000000001E-2</v>
      </c>
      <c r="K19" s="3">
        <v>4.5999999999999999E-2</v>
      </c>
      <c r="L19" s="3">
        <v>4.7E-2</v>
      </c>
      <c r="M19" s="3">
        <v>4.5999999999999999E-2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122</v>
      </c>
      <c r="C22" s="6" t="s">
        <v>122</v>
      </c>
      <c r="D22" s="6" t="s">
        <v>122</v>
      </c>
      <c r="E22" s="7" t="s">
        <v>107</v>
      </c>
      <c r="F22" s="7" t="s">
        <v>107</v>
      </c>
      <c r="G22" s="7" t="s">
        <v>107</v>
      </c>
      <c r="H22" s="7" t="s">
        <v>115</v>
      </c>
      <c r="I22" s="7" t="s">
        <v>115</v>
      </c>
      <c r="J22" s="7" t="s">
        <v>115</v>
      </c>
      <c r="K22" s="7" t="s">
        <v>25</v>
      </c>
      <c r="L22" s="7" t="s">
        <v>25</v>
      </c>
      <c r="M22" s="7" t="s">
        <v>25</v>
      </c>
    </row>
    <row r="23" spans="1:13" ht="37.5" x14ac:dyDescent="0.35">
      <c r="A23" s="5" t="s">
        <v>2</v>
      </c>
      <c r="B23" s="6" t="s">
        <v>125</v>
      </c>
      <c r="C23" s="6" t="s">
        <v>125</v>
      </c>
      <c r="D23" s="6" t="s">
        <v>125</v>
      </c>
      <c r="E23" s="7" t="s">
        <v>108</v>
      </c>
      <c r="F23" s="7" t="s">
        <v>108</v>
      </c>
      <c r="G23" s="7" t="s">
        <v>108</v>
      </c>
      <c r="H23" s="7" t="s">
        <v>116</v>
      </c>
      <c r="I23" s="7" t="s">
        <v>116</v>
      </c>
      <c r="J23" s="7" t="s">
        <v>116</v>
      </c>
      <c r="K23" s="7" t="s">
        <v>25</v>
      </c>
      <c r="L23" s="7" t="s">
        <v>25</v>
      </c>
      <c r="M23" s="7" t="s">
        <v>25</v>
      </c>
    </row>
    <row r="24" spans="1:13" ht="37.5" x14ac:dyDescent="0.35">
      <c r="A24" s="5" t="s">
        <v>3</v>
      </c>
      <c r="B24" s="6" t="s">
        <v>128</v>
      </c>
      <c r="C24" s="6" t="s">
        <v>128</v>
      </c>
      <c r="D24" s="6" t="s">
        <v>128</v>
      </c>
      <c r="E24" s="7" t="s">
        <v>109</v>
      </c>
      <c r="F24" s="7" t="s">
        <v>109</v>
      </c>
      <c r="G24" s="7" t="s">
        <v>109</v>
      </c>
      <c r="H24" s="7" t="s">
        <v>118</v>
      </c>
      <c r="I24" s="7" t="s">
        <v>118</v>
      </c>
      <c r="J24" s="7" t="s">
        <v>118</v>
      </c>
      <c r="K24" s="7" t="s">
        <v>25</v>
      </c>
      <c r="L24" s="7" t="s">
        <v>25</v>
      </c>
      <c r="M24" s="7" t="s">
        <v>25</v>
      </c>
    </row>
    <row r="25" spans="1:13" ht="37.5" x14ac:dyDescent="0.35">
      <c r="A25" s="5" t="s">
        <v>4</v>
      </c>
      <c r="B25" s="23" t="s">
        <v>133</v>
      </c>
      <c r="C25" s="23" t="s">
        <v>133</v>
      </c>
      <c r="D25" s="23" t="s">
        <v>133</v>
      </c>
      <c r="E25" s="7" t="s">
        <v>110</v>
      </c>
      <c r="F25" s="7" t="s">
        <v>110</v>
      </c>
      <c r="G25" s="7" t="s">
        <v>110</v>
      </c>
      <c r="H25" s="7" t="s">
        <v>119</v>
      </c>
      <c r="I25" s="7" t="s">
        <v>119</v>
      </c>
      <c r="J25" s="7" t="s">
        <v>119</v>
      </c>
      <c r="K25" s="7" t="s">
        <v>25</v>
      </c>
      <c r="L25" s="7" t="s">
        <v>25</v>
      </c>
      <c r="M25" s="7" t="s">
        <v>25</v>
      </c>
    </row>
    <row r="26" spans="1:13" ht="37.5" x14ac:dyDescent="0.35">
      <c r="A26" s="5" t="s">
        <v>5</v>
      </c>
      <c r="B26" s="7" t="s">
        <v>134</v>
      </c>
      <c r="C26" s="7" t="s">
        <v>134</v>
      </c>
      <c r="D26" s="7" t="s">
        <v>134</v>
      </c>
      <c r="E26" s="7" t="s">
        <v>111</v>
      </c>
      <c r="F26" s="7" t="s">
        <v>111</v>
      </c>
      <c r="G26" s="7" t="s">
        <v>111</v>
      </c>
      <c r="H26" s="7" t="s">
        <v>117</v>
      </c>
      <c r="I26" s="7" t="s">
        <v>117</v>
      </c>
      <c r="J26" s="7" t="s">
        <v>117</v>
      </c>
      <c r="K26" s="7" t="s">
        <v>25</v>
      </c>
      <c r="L26" s="7" t="s">
        <v>25</v>
      </c>
      <c r="M26" s="7" t="s">
        <v>25</v>
      </c>
    </row>
    <row r="27" spans="1:13" ht="37.5" x14ac:dyDescent="0.35">
      <c r="A27" s="5" t="s">
        <v>6</v>
      </c>
      <c r="B27" s="7" t="s">
        <v>137</v>
      </c>
      <c r="C27" s="7" t="s">
        <v>137</v>
      </c>
      <c r="D27" s="7" t="s">
        <v>137</v>
      </c>
      <c r="E27" s="7" t="s">
        <v>112</v>
      </c>
      <c r="F27" s="7" t="s">
        <v>112</v>
      </c>
      <c r="G27" s="7" t="s">
        <v>112</v>
      </c>
      <c r="H27" s="7" t="s">
        <v>120</v>
      </c>
      <c r="I27" s="7" t="s">
        <v>120</v>
      </c>
      <c r="J27" s="7" t="s">
        <v>120</v>
      </c>
      <c r="K27" s="7" t="s">
        <v>25</v>
      </c>
      <c r="L27" s="7" t="s">
        <v>25</v>
      </c>
      <c r="M27" s="7" t="s">
        <v>25</v>
      </c>
    </row>
    <row r="28" spans="1:13" ht="25" x14ac:dyDescent="0.35">
      <c r="A28" s="5" t="s">
        <v>7</v>
      </c>
      <c r="B28" s="7" t="s">
        <v>140</v>
      </c>
      <c r="C28" s="7" t="s">
        <v>140</v>
      </c>
      <c r="D28" s="7" t="s">
        <v>140</v>
      </c>
      <c r="E28" s="7" t="s">
        <v>113</v>
      </c>
      <c r="F28" s="7" t="s">
        <v>113</v>
      </c>
      <c r="G28" s="7" t="s">
        <v>113</v>
      </c>
      <c r="H28" s="7" t="s">
        <v>121</v>
      </c>
      <c r="I28" s="7" t="s">
        <v>121</v>
      </c>
      <c r="J28" s="7" t="s">
        <v>121</v>
      </c>
      <c r="K28" s="7" t="s">
        <v>25</v>
      </c>
      <c r="L28" s="7" t="s">
        <v>25</v>
      </c>
      <c r="M28" s="7" t="s">
        <v>25</v>
      </c>
    </row>
    <row r="29" spans="1:13" ht="37.5" x14ac:dyDescent="0.35">
      <c r="A29" s="5" t="s">
        <v>8</v>
      </c>
      <c r="B29" s="7" t="s">
        <v>133</v>
      </c>
      <c r="C29" s="7" t="s">
        <v>133</v>
      </c>
      <c r="D29" s="7" t="s">
        <v>133</v>
      </c>
      <c r="E29" s="7" t="s">
        <v>114</v>
      </c>
      <c r="F29" s="7" t="s">
        <v>114</v>
      </c>
      <c r="G29" s="7" t="s">
        <v>114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Lab Check</vt:lpstr>
      <vt:lpstr>Lab Pasting</vt:lpstr>
      <vt:lpstr>STDs Template</vt:lpstr>
      <vt:lpstr>Plate 1</vt:lpstr>
      <vt:lpstr>Plate 2</vt:lpstr>
      <vt:lpstr>Plate 3</vt:lpstr>
      <vt:lpstr>Plate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2023-06-01T13:58:09Z</dcterms:created>
  <dcterms:modified xsi:type="dcterms:W3CDTF">2024-10-23T02:16:55Z</dcterms:modified>
</cp:coreProperties>
</file>