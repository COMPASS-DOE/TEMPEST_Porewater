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dwinprod-my.sharepoint.com/personal/amontg_udel_edu/Documents/PhD/Data/TEMPEST/Porewater/"/>
    </mc:Choice>
  </mc:AlternateContent>
  <xr:revisionPtr revIDLastSave="90" documentId="13_ncr:1_{8A9AC31C-8F9F-473A-AB03-F842EC18BF14}" xr6:coauthVersionLast="47" xr6:coauthVersionMax="47" xr10:uidLastSave="{D913F5A9-5AF1-4A76-BA7A-EC22365F7F47}"/>
  <bookViews>
    <workbookView minimized="1" xWindow="-90" yWindow="1800" windowWidth="14400" windowHeight="7280" firstSheet="1" activeTab="3" xr2:uid="{3C70F900-5AE2-4121-9D3D-495ECF1128CC}"/>
  </bookViews>
  <sheets>
    <sheet name="Read Me" sheetId="5" r:id="rId1"/>
    <sheet name="Lab Check" sheetId="2" r:id="rId2"/>
    <sheet name="Lab Pasting" sheetId="12" r:id="rId3"/>
    <sheet name="STDs Template" sheetId="1" r:id="rId4"/>
    <sheet name="Plate 1" sheetId="4" r:id="rId5"/>
    <sheet name="Plate 2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2" l="1"/>
  <c r="O21" i="2"/>
  <c r="O20" i="2"/>
  <c r="O27" i="2"/>
  <c r="O25" i="2"/>
  <c r="O19" i="2"/>
  <c r="B13" i="2"/>
  <c r="B5" i="2"/>
  <c r="O13" i="2"/>
  <c r="O12" i="2"/>
  <c r="O28" i="2"/>
  <c r="B12" i="2"/>
  <c r="Q35" i="2"/>
  <c r="R35" i="2"/>
  <c r="P35" i="2"/>
  <c r="O29" i="2"/>
  <c r="O26" i="2"/>
  <c r="O24" i="2"/>
  <c r="O23" i="2"/>
  <c r="O18" i="2"/>
  <c r="O14" i="2"/>
  <c r="O11" i="2"/>
  <c r="O10" i="2"/>
  <c r="O9" i="2"/>
  <c r="O8" i="2"/>
  <c r="O7" i="2"/>
  <c r="O6" i="2"/>
  <c r="O5" i="2"/>
  <c r="O4" i="2"/>
  <c r="O3" i="2"/>
  <c r="B29" i="2"/>
  <c r="B28" i="2"/>
  <c r="B27" i="2"/>
  <c r="B26" i="2"/>
  <c r="B25" i="2"/>
  <c r="B24" i="2"/>
  <c r="B23" i="2"/>
  <c r="B22" i="2"/>
  <c r="B21" i="2"/>
  <c r="B20" i="2"/>
  <c r="B19" i="2"/>
  <c r="B18" i="2"/>
  <c r="B14" i="2"/>
  <c r="B11" i="2"/>
  <c r="B10" i="2"/>
  <c r="B9" i="2"/>
  <c r="B8" i="2"/>
  <c r="B7" i="2"/>
  <c r="B6" i="2"/>
  <c r="B4" i="2"/>
  <c r="B3" i="2"/>
</calcChain>
</file>

<file path=xl/sharedStrings.xml><?xml version="1.0" encoding="utf-8"?>
<sst xmlns="http://schemas.openxmlformats.org/spreadsheetml/2006/main" count="513" uniqueCount="100">
  <si>
    <t>Abs1</t>
  </si>
  <si>
    <t>A</t>
  </si>
  <si>
    <t>B</t>
  </si>
  <si>
    <t>C</t>
  </si>
  <si>
    <t>D</t>
  </si>
  <si>
    <t>E</t>
  </si>
  <si>
    <t>F</t>
  </si>
  <si>
    <t>G</t>
  </si>
  <si>
    <t>H</t>
  </si>
  <si>
    <t>Abs2</t>
  </si>
  <si>
    <t>IDs</t>
  </si>
  <si>
    <t>Dilutions</t>
  </si>
  <si>
    <t>Conc_uM</t>
  </si>
  <si>
    <t>FeII Stds</t>
  </si>
  <si>
    <t>Avg Abs</t>
  </si>
  <si>
    <t>As3</t>
  </si>
  <si>
    <t>FeIII Stds</t>
  </si>
  <si>
    <t xml:space="preserve">First Run of the Plate (Fe2 read) </t>
  </si>
  <si>
    <t xml:space="preserve">Second Run of the Plate (Fe Total read) </t>
  </si>
  <si>
    <t>Red. Eff</t>
  </si>
  <si>
    <t>60 uM fe(III)</t>
  </si>
  <si>
    <t xml:space="preserve">&gt;85% </t>
  </si>
  <si>
    <t>E1</t>
  </si>
  <si>
    <t>E2</t>
  </si>
  <si>
    <t>E3</t>
  </si>
  <si>
    <t>This sheet is to be used to organize and prepare Iron microplate data for calculation</t>
  </si>
  <si>
    <t xml:space="preserve">Lab Check: </t>
  </si>
  <si>
    <t xml:space="preserve">This sheet is used to check that standards and reduction efficiencies are good while running samples in the lab </t>
  </si>
  <si>
    <t xml:space="preserve">Lab Pasting: </t>
  </si>
  <si>
    <t xml:space="preserve">This sheet is used to paste microplate data from the Gen5 software so that it can be worked with and checked during runs </t>
  </si>
  <si>
    <t xml:space="preserve">STDs Template: </t>
  </si>
  <si>
    <t xml:space="preserve">This sheet is a template to paste your FE absorbance data into; you should also fill out the IDS and Dilutions here - this should be saved as a csv and will serve as your standards sheet in the analysis code </t>
  </si>
  <si>
    <t xml:space="preserve">If you have multiple standards plates you can save them as separate csv files and combine them in R </t>
  </si>
  <si>
    <t xml:space="preserve">Samples Template: </t>
  </si>
  <si>
    <t xml:space="preserve">This sheet is a template to paste your FE absorbance data into; you should also fill out the IDS and Dilutions here - this should be saved as a csv and will serve as your samples sheet in the analysis code </t>
  </si>
  <si>
    <t xml:space="preserve">If you have multiple plates you can save them as separate csv files and then you can combine data in R or run one analysis code per plate (whatever works best for you)  </t>
  </si>
  <si>
    <t>Updated: 06-01-2023 by Stephanie J. Wilson</t>
  </si>
  <si>
    <t>stds1</t>
  </si>
  <si>
    <t>stds2</t>
  </si>
  <si>
    <t>plate 1</t>
  </si>
  <si>
    <t>ABS1</t>
  </si>
  <si>
    <t>plate 2</t>
  </si>
  <si>
    <t>ABS2</t>
  </si>
  <si>
    <t>plate2</t>
  </si>
  <si>
    <t>20230807_FW_B4</t>
  </si>
  <si>
    <t>20230807_FW_C3</t>
  </si>
  <si>
    <t>20230807_FW_C6</t>
  </si>
  <si>
    <t>20230807_FW_D5</t>
  </si>
  <si>
    <t>20230807_FW_E3</t>
  </si>
  <si>
    <t>20230807_FW_F4</t>
  </si>
  <si>
    <t>20230807_FW_F6</t>
  </si>
  <si>
    <t>20230807_FW_H3</t>
  </si>
  <si>
    <t>20230807_FW_I5</t>
  </si>
  <si>
    <t>20230807_SW_C3</t>
  </si>
  <si>
    <t>20230807_SW_E3</t>
  </si>
  <si>
    <t>20230807_SW_F6</t>
  </si>
  <si>
    <t>20230807_SW_C6</t>
  </si>
  <si>
    <t>20230807_SW_C6_dup</t>
  </si>
  <si>
    <t>20230807_SW_E3_spk</t>
  </si>
  <si>
    <t>20230807_SW_B4</t>
  </si>
  <si>
    <t>20230807_SW_D6</t>
  </si>
  <si>
    <t>20230807_SW_F4</t>
  </si>
  <si>
    <t>20230807_SW_I5</t>
  </si>
  <si>
    <t>20230807_SW_H3</t>
  </si>
  <si>
    <t>20230807_SW_H6</t>
  </si>
  <si>
    <t>20230807_C_B4</t>
  </si>
  <si>
    <t>20230807_C_C6</t>
  </si>
  <si>
    <t>20230807_C_D5</t>
  </si>
  <si>
    <t>20230807_C_E3</t>
  </si>
  <si>
    <t>20230807_C_I5</t>
  </si>
  <si>
    <t>20230807_C_I5_dup</t>
  </si>
  <si>
    <t>20230807_C_F4</t>
  </si>
  <si>
    <t>20230807_C_F4_spk</t>
  </si>
  <si>
    <t>20230810_C_F6</t>
  </si>
  <si>
    <t>20230807_C_H3</t>
  </si>
  <si>
    <t>20230807_C_H6</t>
  </si>
  <si>
    <t>NA</t>
  </si>
  <si>
    <t>Fe_2_60 uM</t>
  </si>
  <si>
    <t>Fe_2_45 uM</t>
  </si>
  <si>
    <t>Fe_2_30 uM</t>
  </si>
  <si>
    <t>Fe_2_18 uM</t>
  </si>
  <si>
    <t>Fe_2_9 uM</t>
  </si>
  <si>
    <t>Fe_2_6 uM</t>
  </si>
  <si>
    <t>Fe_2_3 uM</t>
  </si>
  <si>
    <t>Fe_2_0.6 uM</t>
  </si>
  <si>
    <t>Fe_2_100_uM</t>
  </si>
  <si>
    <t>Fe_2_250 uM</t>
  </si>
  <si>
    <t>Fe_2_500 uM</t>
  </si>
  <si>
    <t>0.5 M HCl</t>
  </si>
  <si>
    <t>Fe_3_60 uM</t>
  </si>
  <si>
    <t>Fe_3_45 uM</t>
  </si>
  <si>
    <t>Fe_3_30 uM</t>
  </si>
  <si>
    <t>Fe_3_18 uM</t>
  </si>
  <si>
    <t>Fe_3_9 uM</t>
  </si>
  <si>
    <t>Fe_3_6 uM</t>
  </si>
  <si>
    <t>Fe_3_3 uM</t>
  </si>
  <si>
    <t>Fe_3_0.6 uM</t>
  </si>
  <si>
    <t>Fe_3_100 uM</t>
  </si>
  <si>
    <t>Fe_3_250 uM</t>
  </si>
  <si>
    <t>Fe_3_500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</si>
</sst>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7"/>
      <color rgb="FF00000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A78BA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2" fillId="0" borderId="0" xfId="0" applyFont="1"/>
    <xf numFmtId="0" fontId="0" fillId="6" borderId="0" xfId="0" applyFill="1"/>
    <xf numFmtId="0" fontId="3" fillId="7" borderId="0" xfId="0" applyFont="1" applyFill="1" applyAlignment="1">
      <alignment horizontal="center" vertical="center" wrapText="1"/>
    </xf>
    <xf numFmtId="0" fontId="0" fillId="7" borderId="0" xfId="0" applyFill="1"/>
    <xf numFmtId="2" fontId="0" fillId="8" borderId="0" xfId="0" applyNumberFormat="1" applyFill="1"/>
    <xf numFmtId="0" fontId="6" fillId="0" borderId="0" xfId="0" applyFont="1" applyAlignment="1">
      <alignment horizontal="left" vertical="center" wrapText="1" indent="1"/>
    </xf>
    <xf numFmtId="0" fontId="7" fillId="0" borderId="0" xfId="0" applyFont="1"/>
    <xf numFmtId="2" fontId="4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Check'!$B$17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'Lab Check'!$A$18:$A$29</c:f>
              <c:numCache>
                <c:formatCode>General</c:formatCode>
                <c:ptCount val="12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  <c:pt idx="8">
                  <c:v>100</c:v>
                </c:pt>
                <c:pt idx="9">
                  <c:v>250</c:v>
                </c:pt>
                <c:pt idx="10">
                  <c:v>500</c:v>
                </c:pt>
                <c:pt idx="11">
                  <c:v>0</c:v>
                </c:pt>
              </c:numCache>
            </c:numRef>
          </c:xVal>
          <c:yVal>
            <c:numRef>
              <c:f>'Lab Check'!$B$18:$B$29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9F-4CB4-AA21-806819B99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856232"/>
        <c:axId val="428905360"/>
      </c:scatterChart>
      <c:valAx>
        <c:axId val="455856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905360"/>
        <c:crosses val="autoZero"/>
        <c:crossBetween val="midCat"/>
      </c:valAx>
      <c:valAx>
        <c:axId val="428905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856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484762586494869"/>
                  <c:y val="2.77401129943502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Check'!$A$3:$A$11</c:f>
              <c:numCache>
                <c:formatCode>General</c:formatCode>
                <c:ptCount val="9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  <c:pt idx="8">
                  <c:v>100</c:v>
                </c:pt>
              </c:numCache>
            </c:numRef>
          </c:xVal>
          <c:yVal>
            <c:numRef>
              <c:f>'Lab Check'!$B$3:$B$11</c:f>
              <c:numCache>
                <c:formatCode>General</c:formatCode>
                <c:ptCount val="9"/>
                <c:pt idx="0">
                  <c:v>0.16066666666666665</c:v>
                </c:pt>
                <c:pt idx="1">
                  <c:v>0.125</c:v>
                </c:pt>
                <c:pt idx="2">
                  <c:v>9.7333333333333341E-2</c:v>
                </c:pt>
                <c:pt idx="3">
                  <c:v>7.2666666666666657E-2</c:v>
                </c:pt>
                <c:pt idx="4">
                  <c:v>5.7333333333333326E-2</c:v>
                </c:pt>
                <c:pt idx="5">
                  <c:v>5.1666666666666673E-2</c:v>
                </c:pt>
                <c:pt idx="6">
                  <c:v>4.3000000000000003E-2</c:v>
                </c:pt>
                <c:pt idx="7">
                  <c:v>3.833333333333333E-2</c:v>
                </c:pt>
                <c:pt idx="8">
                  <c:v>0.24133333333333332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CB-420C-BFCC-AFB06D10D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139320"/>
        <c:axId val="350145080"/>
      </c:scatterChart>
      <c:valAx>
        <c:axId val="350139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45080"/>
        <c:crosses val="autoZero"/>
        <c:crossBetween val="midCat"/>
      </c:valAx>
      <c:valAx>
        <c:axId val="350145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39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</a:t>
            </a:r>
            <a:r>
              <a:rPr lang="en-US" baseline="0"/>
              <a:t> Fe II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484762586494869"/>
                  <c:y val="2.77401129943502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Check'!$A$11:$A$13</c:f>
              <c:numCache>
                <c:formatCode>General</c:formatCode>
                <c:ptCount val="3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</c:numCache>
            </c:numRef>
          </c:xVal>
          <c:yVal>
            <c:numRef>
              <c:f>'Lab Check'!$B$11:$B$13</c:f>
              <c:numCache>
                <c:formatCode>General</c:formatCode>
                <c:ptCount val="3"/>
                <c:pt idx="0">
                  <c:v>0.24133333333333332</c:v>
                </c:pt>
                <c:pt idx="1">
                  <c:v>0.49866666666666665</c:v>
                </c:pt>
                <c:pt idx="2">
                  <c:v>0.86699999999999999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B9-4D51-9C8C-B04A745A5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139320"/>
        <c:axId val="350145080"/>
      </c:scatterChart>
      <c:valAx>
        <c:axId val="350139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45080"/>
        <c:crosses val="autoZero"/>
        <c:crossBetween val="midCat"/>
      </c:valAx>
      <c:valAx>
        <c:axId val="350145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39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Check'!$O$2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828612255087019"/>
                  <c:y val="-2.87616536620705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Check'!$N$3:$N$11</c:f>
              <c:numCache>
                <c:formatCode>General</c:formatCode>
                <c:ptCount val="9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  <c:pt idx="8">
                  <c:v>100</c:v>
                </c:pt>
              </c:numCache>
            </c:numRef>
          </c:xVal>
          <c:yVal>
            <c:numRef>
              <c:f>'Lab Check'!$O$3:$O$11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95-4360-A883-7460D6FA9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07312"/>
        <c:axId val="447900728"/>
      </c:scatterChart>
      <c:valAx>
        <c:axId val="19820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00728"/>
        <c:crosses val="autoZero"/>
        <c:crossBetween val="midCat"/>
      </c:valAx>
      <c:valAx>
        <c:axId val="44790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Check'!$O$2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828612255087019"/>
                  <c:y val="-2.87616536620705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Check'!$N$11:$N$13</c:f>
              <c:numCache>
                <c:formatCode>General</c:formatCode>
                <c:ptCount val="3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</c:numCache>
            </c:numRef>
          </c:xVal>
          <c:yVal>
            <c:numRef>
              <c:f>'Lab Check'!$O$11:$O$13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30-4A44-A1A5-151C93C07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07312"/>
        <c:axId val="447900728"/>
      </c:scatterChart>
      <c:valAx>
        <c:axId val="19820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00728"/>
        <c:crosses val="autoZero"/>
        <c:crossBetween val="midCat"/>
      </c:valAx>
      <c:valAx>
        <c:axId val="44790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Check'!$O$2</c:f>
              <c:strCache>
                <c:ptCount val="1"/>
                <c:pt idx="0">
                  <c:v>Avg Abs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828612255087019"/>
                  <c:y val="-2.87616536620705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Check'!$N$18:$N$25</c:f>
              <c:numCache>
                <c:formatCode>General</c:formatCode>
                <c:ptCount val="8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</c:numCache>
            </c:numRef>
          </c:xVal>
          <c:yVal>
            <c:numRef>
              <c:f>'Lab Check'!$O$18:$O$25</c:f>
              <c:numCache>
                <c:formatCode>General</c:formatCode>
                <c:ptCount val="8"/>
                <c:pt idx="0">
                  <c:v>0.17</c:v>
                </c:pt>
                <c:pt idx="1">
                  <c:v>0.1305</c:v>
                </c:pt>
                <c:pt idx="2">
                  <c:v>0.108</c:v>
                </c:pt>
                <c:pt idx="3">
                  <c:v>8.2000000000000003E-2</c:v>
                </c:pt>
                <c:pt idx="4">
                  <c:v>5.5500000000000001E-2</c:v>
                </c:pt>
                <c:pt idx="5">
                  <c:v>4.9999999999999996E-2</c:v>
                </c:pt>
                <c:pt idx="6">
                  <c:v>4.3666666666666666E-2</c:v>
                </c:pt>
                <c:pt idx="7">
                  <c:v>3.95E-2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A1-471E-9A5E-8C2E693EB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07312"/>
        <c:axId val="447900728"/>
      </c:scatterChart>
      <c:valAx>
        <c:axId val="19820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00728"/>
        <c:crosses val="autoZero"/>
        <c:crossBetween val="midCat"/>
      </c:valAx>
      <c:valAx>
        <c:axId val="44790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Check'!$O$2</c:f>
              <c:strCache>
                <c:ptCount val="1"/>
                <c:pt idx="0">
                  <c:v>Avg Abs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828612255087019"/>
                  <c:y val="-2.87616536620705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Check'!$N$26:$N$28</c:f>
              <c:numCache>
                <c:formatCode>General</c:formatCode>
                <c:ptCount val="3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</c:numCache>
            </c:numRef>
          </c:xVal>
          <c:yVal>
            <c:numRef>
              <c:f>'Lab Check'!$O$26:$O$28</c:f>
              <c:numCache>
                <c:formatCode>General</c:formatCode>
                <c:ptCount val="3"/>
                <c:pt idx="0">
                  <c:v>0.23666666666666666</c:v>
                </c:pt>
                <c:pt idx="1">
                  <c:v>0.29949999999999999</c:v>
                </c:pt>
                <c:pt idx="2">
                  <c:v>0.35966666666666663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1A-4C7D-B85C-AA0AF33DB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07312"/>
        <c:axId val="447900728"/>
      </c:scatterChart>
      <c:valAx>
        <c:axId val="19820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00728"/>
        <c:crosses val="autoZero"/>
        <c:crossBetween val="midCat"/>
      </c:valAx>
      <c:valAx>
        <c:axId val="44790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18</xdr:row>
      <xdr:rowOff>171449</xdr:rowOff>
    </xdr:from>
    <xdr:to>
      <xdr:col>11</xdr:col>
      <xdr:colOff>409575</xdr:colOff>
      <xdr:row>31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289A68-ECD8-3FAF-B81A-3C600C5F0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85725</xdr:colOff>
      <xdr:row>1</xdr:row>
      <xdr:rowOff>104776</xdr:rowOff>
    </xdr:from>
    <xdr:to>
      <xdr:col>8</xdr:col>
      <xdr:colOff>571500</xdr:colOff>
      <xdr:row>11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28377D-13F9-3787-7B28-C2111CBC6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57150</xdr:colOff>
      <xdr:row>0</xdr:row>
      <xdr:rowOff>133350</xdr:rowOff>
    </xdr:from>
    <xdr:to>
      <xdr:col>12</xdr:col>
      <xdr:colOff>123825</xdr:colOff>
      <xdr:row>10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0655C2-1EA9-4811-8B0F-4E6A2FA4C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252412</xdr:colOff>
      <xdr:row>2</xdr:row>
      <xdr:rowOff>76200</xdr:rowOff>
    </xdr:from>
    <xdr:to>
      <xdr:col>23</xdr:col>
      <xdr:colOff>457200</xdr:colOff>
      <xdr:row>13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ED0193D-CA6F-589B-CA8D-8B7E5D2DB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600075</xdr:colOff>
      <xdr:row>2</xdr:row>
      <xdr:rowOff>152400</xdr:rowOff>
    </xdr:from>
    <xdr:to>
      <xdr:col>29</xdr:col>
      <xdr:colOff>195263</xdr:colOff>
      <xdr:row>13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6F83E57-792B-4657-ACC2-3B5495328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466725</xdr:colOff>
      <xdr:row>17</xdr:row>
      <xdr:rowOff>38100</xdr:rowOff>
    </xdr:from>
    <xdr:to>
      <xdr:col>24</xdr:col>
      <xdr:colOff>61913</xdr:colOff>
      <xdr:row>28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289CDAF-0054-437B-9EC0-E896DCE9A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219075</xdr:colOff>
      <xdr:row>17</xdr:row>
      <xdr:rowOff>104775</xdr:rowOff>
    </xdr:from>
    <xdr:to>
      <xdr:col>29</xdr:col>
      <xdr:colOff>423863</xdr:colOff>
      <xdr:row>28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7F538C-7AE9-48A6-AC8F-735E9B430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8F39-E2D4-4065-BEA3-84CEA0E14388}">
  <sheetPr codeName="Sheet1"/>
  <dimension ref="A1:D11"/>
  <sheetViews>
    <sheetView workbookViewId="0">
      <selection activeCell="H28" sqref="H28"/>
    </sheetView>
  </sheetViews>
  <sheetFormatPr defaultRowHeight="14.5" x14ac:dyDescent="0.35"/>
  <sheetData>
    <row r="1" spans="1:4" x14ac:dyDescent="0.35">
      <c r="A1" t="s">
        <v>36</v>
      </c>
    </row>
    <row r="4" spans="1:4" x14ac:dyDescent="0.35">
      <c r="B4" t="s">
        <v>25</v>
      </c>
    </row>
    <row r="6" spans="1:4" x14ac:dyDescent="0.35">
      <c r="B6" t="s">
        <v>26</v>
      </c>
      <c r="D6" t="s">
        <v>27</v>
      </c>
    </row>
    <row r="7" spans="1:4" x14ac:dyDescent="0.35">
      <c r="B7" t="s">
        <v>28</v>
      </c>
      <c r="D7" t="s">
        <v>29</v>
      </c>
    </row>
    <row r="8" spans="1:4" x14ac:dyDescent="0.35">
      <c r="B8" t="s">
        <v>30</v>
      </c>
      <c r="D8" t="s">
        <v>31</v>
      </c>
    </row>
    <row r="9" spans="1:4" x14ac:dyDescent="0.35">
      <c r="D9" t="s">
        <v>32</v>
      </c>
    </row>
    <row r="10" spans="1:4" x14ac:dyDescent="0.35">
      <c r="B10" t="s">
        <v>33</v>
      </c>
      <c r="D10" t="s">
        <v>34</v>
      </c>
    </row>
    <row r="11" spans="1:4" x14ac:dyDescent="0.35">
      <c r="D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F35D-FBA0-4DAC-9A7D-96D0AA14AEA1}">
  <sheetPr codeName="Sheet2"/>
  <dimension ref="A1:Y35"/>
  <sheetViews>
    <sheetView workbookViewId="0">
      <selection activeCell="E31" sqref="E31"/>
    </sheetView>
  </sheetViews>
  <sheetFormatPr defaultRowHeight="14.5" x14ac:dyDescent="0.35"/>
  <cols>
    <col min="13" max="13" width="5.7265625" style="14" customWidth="1"/>
  </cols>
  <sheetData>
    <row r="1" spans="1:25" x14ac:dyDescent="0.35">
      <c r="A1" s="29" t="s">
        <v>17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N1" s="30" t="s">
        <v>18</v>
      </c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x14ac:dyDescent="0.35">
      <c r="A2" s="13" t="s">
        <v>13</v>
      </c>
      <c r="B2" s="13" t="s">
        <v>14</v>
      </c>
      <c r="C2" s="13" t="s">
        <v>0</v>
      </c>
      <c r="D2" s="13" t="s">
        <v>9</v>
      </c>
      <c r="E2" s="13" t="s">
        <v>15</v>
      </c>
      <c r="N2" s="13" t="s">
        <v>13</v>
      </c>
      <c r="O2" s="13" t="s">
        <v>14</v>
      </c>
      <c r="P2" s="13" t="s">
        <v>0</v>
      </c>
      <c r="Q2" s="13" t="s">
        <v>9</v>
      </c>
      <c r="R2" s="13" t="s">
        <v>15</v>
      </c>
    </row>
    <row r="3" spans="1:25" x14ac:dyDescent="0.35">
      <c r="A3">
        <v>60</v>
      </c>
      <c r="B3">
        <f>AVERAGE(C3:E3)</f>
        <v>0.16066666666666665</v>
      </c>
      <c r="C3" s="3">
        <v>0.17399999999999999</v>
      </c>
      <c r="D3" s="3">
        <v>0.154</v>
      </c>
      <c r="E3" s="3">
        <v>0.154</v>
      </c>
      <c r="N3">
        <v>60</v>
      </c>
      <c r="O3" t="e">
        <f>AVERAGE(P3:R3)</f>
        <v>#DIV/0!</v>
      </c>
    </row>
    <row r="4" spans="1:25" x14ac:dyDescent="0.35">
      <c r="A4">
        <v>45</v>
      </c>
      <c r="B4">
        <f t="shared" ref="B4:B14" si="0">AVERAGE(C4:E4)</f>
        <v>0.125</v>
      </c>
      <c r="C4" s="3">
        <v>0.123</v>
      </c>
      <c r="D4" s="3">
        <v>0.13100000000000001</v>
      </c>
      <c r="E4" s="3">
        <v>0.121</v>
      </c>
      <c r="N4">
        <v>45</v>
      </c>
      <c r="O4" t="e">
        <f t="shared" ref="O4:O14" si="1">AVERAGE(P4:R4)</f>
        <v>#DIV/0!</v>
      </c>
    </row>
    <row r="5" spans="1:25" x14ac:dyDescent="0.35">
      <c r="A5">
        <v>30</v>
      </c>
      <c r="B5">
        <f>AVERAGE(C5:E5)</f>
        <v>9.7333333333333341E-2</v>
      </c>
      <c r="C5" s="3">
        <v>9.5000000000000001E-2</v>
      </c>
      <c r="D5" s="3">
        <v>0.105</v>
      </c>
      <c r="E5" s="3">
        <v>9.1999999999999998E-2</v>
      </c>
      <c r="N5">
        <v>30</v>
      </c>
      <c r="O5" t="e">
        <f t="shared" si="1"/>
        <v>#DIV/0!</v>
      </c>
    </row>
    <row r="6" spans="1:25" x14ac:dyDescent="0.35">
      <c r="A6">
        <v>18</v>
      </c>
      <c r="B6">
        <f t="shared" si="0"/>
        <v>7.2666666666666657E-2</v>
      </c>
      <c r="C6" s="3">
        <v>7.0999999999999994E-2</v>
      </c>
      <c r="D6" s="3">
        <v>7.2999999999999995E-2</v>
      </c>
      <c r="E6" s="3">
        <v>7.3999999999999996E-2</v>
      </c>
      <c r="N6">
        <v>18</v>
      </c>
      <c r="O6" t="e">
        <f t="shared" si="1"/>
        <v>#DIV/0!</v>
      </c>
    </row>
    <row r="7" spans="1:25" x14ac:dyDescent="0.35">
      <c r="A7">
        <v>9</v>
      </c>
      <c r="B7">
        <f t="shared" si="0"/>
        <v>5.7333333333333326E-2</v>
      </c>
      <c r="C7" s="3">
        <v>5.6000000000000001E-2</v>
      </c>
      <c r="D7" s="3">
        <v>5.8999999999999997E-2</v>
      </c>
      <c r="E7" s="3">
        <v>5.7000000000000002E-2</v>
      </c>
      <c r="N7">
        <v>9</v>
      </c>
      <c r="O7" t="e">
        <f t="shared" si="1"/>
        <v>#DIV/0!</v>
      </c>
    </row>
    <row r="8" spans="1:25" x14ac:dyDescent="0.35">
      <c r="A8">
        <v>6</v>
      </c>
      <c r="B8">
        <f t="shared" si="0"/>
        <v>5.1666666666666673E-2</v>
      </c>
      <c r="C8" s="3">
        <v>4.9000000000000002E-2</v>
      </c>
      <c r="D8" s="3">
        <v>5.6000000000000001E-2</v>
      </c>
      <c r="E8" s="3">
        <v>0.05</v>
      </c>
      <c r="N8">
        <v>6</v>
      </c>
      <c r="O8" t="e">
        <f t="shared" si="1"/>
        <v>#DIV/0!</v>
      </c>
    </row>
    <row r="9" spans="1:25" x14ac:dyDescent="0.35">
      <c r="A9">
        <v>3</v>
      </c>
      <c r="B9">
        <f t="shared" si="0"/>
        <v>4.3000000000000003E-2</v>
      </c>
      <c r="C9" s="3">
        <v>4.2999999999999997E-2</v>
      </c>
      <c r="D9" s="3">
        <v>4.2000000000000003E-2</v>
      </c>
      <c r="E9" s="3">
        <v>4.3999999999999997E-2</v>
      </c>
      <c r="N9">
        <v>3</v>
      </c>
      <c r="O9" t="e">
        <f t="shared" si="1"/>
        <v>#DIV/0!</v>
      </c>
    </row>
    <row r="10" spans="1:25" x14ac:dyDescent="0.35">
      <c r="A10">
        <v>0.6</v>
      </c>
      <c r="B10">
        <f t="shared" si="0"/>
        <v>3.833333333333333E-2</v>
      </c>
      <c r="C10" s="3">
        <v>3.7999999999999999E-2</v>
      </c>
      <c r="D10" s="3">
        <v>3.9E-2</v>
      </c>
      <c r="E10" s="3">
        <v>3.7999999999999999E-2</v>
      </c>
      <c r="N10">
        <v>0.6</v>
      </c>
      <c r="O10" t="e">
        <f t="shared" si="1"/>
        <v>#DIV/0!</v>
      </c>
    </row>
    <row r="11" spans="1:25" x14ac:dyDescent="0.35">
      <c r="A11">
        <v>100</v>
      </c>
      <c r="B11">
        <f t="shared" si="0"/>
        <v>0.24133333333333332</v>
      </c>
      <c r="C11" s="3">
        <v>0.22600000000000001</v>
      </c>
      <c r="D11" s="3">
        <v>0.253</v>
      </c>
      <c r="E11" s="3">
        <v>0.245</v>
      </c>
      <c r="N11">
        <v>100</v>
      </c>
      <c r="O11" t="e">
        <f t="shared" si="1"/>
        <v>#DIV/0!</v>
      </c>
    </row>
    <row r="12" spans="1:25" x14ac:dyDescent="0.35">
      <c r="A12">
        <v>250</v>
      </c>
      <c r="B12">
        <f>AVERAGE(C12:E12)</f>
        <v>0.49866666666666665</v>
      </c>
      <c r="C12" s="3">
        <v>0.48699999999999999</v>
      </c>
      <c r="D12" s="3">
        <v>0.51</v>
      </c>
      <c r="E12" s="3">
        <v>0.499</v>
      </c>
      <c r="N12">
        <v>250</v>
      </c>
      <c r="O12" t="e">
        <f>AVERAGE(P12,R12)</f>
        <v>#DIV/0!</v>
      </c>
      <c r="P12" s="19"/>
      <c r="Q12" s="12"/>
    </row>
    <row r="13" spans="1:25" x14ac:dyDescent="0.35">
      <c r="A13">
        <v>500</v>
      </c>
      <c r="B13">
        <f>AVERAGE(D13:E13)</f>
        <v>0.86699999999999999</v>
      </c>
      <c r="C13" s="24">
        <v>0.55800000000000005</v>
      </c>
      <c r="D13" s="3">
        <v>0.871</v>
      </c>
      <c r="E13" s="3">
        <v>0.86299999999999999</v>
      </c>
      <c r="N13">
        <v>500</v>
      </c>
      <c r="O13" t="e">
        <f>AVERAGE(Q13:R13)</f>
        <v>#DIV/0!</v>
      </c>
      <c r="P13" s="12"/>
    </row>
    <row r="14" spans="1:25" x14ac:dyDescent="0.35">
      <c r="A14">
        <v>0</v>
      </c>
      <c r="B14">
        <f t="shared" si="0"/>
        <v>3.7666666666666661E-2</v>
      </c>
      <c r="C14" s="3">
        <v>3.9E-2</v>
      </c>
      <c r="D14" s="3">
        <v>3.6999999999999998E-2</v>
      </c>
      <c r="E14" s="3">
        <v>3.6999999999999998E-2</v>
      </c>
      <c r="N14">
        <v>0</v>
      </c>
      <c r="O14" t="e">
        <f t="shared" si="1"/>
        <v>#DIV/0!</v>
      </c>
    </row>
    <row r="17" spans="1:18" x14ac:dyDescent="0.35">
      <c r="A17" s="13" t="s">
        <v>16</v>
      </c>
      <c r="B17" s="13" t="s">
        <v>14</v>
      </c>
      <c r="C17" s="13" t="s">
        <v>0</v>
      </c>
      <c r="D17" s="13" t="s">
        <v>9</v>
      </c>
      <c r="E17" s="13" t="s">
        <v>15</v>
      </c>
      <c r="N17" s="13" t="s">
        <v>16</v>
      </c>
      <c r="O17" s="13" t="s">
        <v>14</v>
      </c>
      <c r="P17" s="13" t="s">
        <v>0</v>
      </c>
      <c r="Q17" s="13" t="s">
        <v>9</v>
      </c>
      <c r="R17" s="13" t="s">
        <v>15</v>
      </c>
    </row>
    <row r="18" spans="1:18" x14ac:dyDescent="0.35">
      <c r="A18">
        <v>60</v>
      </c>
      <c r="B18" t="e">
        <f>AVERAGE(C18:E18)</f>
        <v>#DIV/0!</v>
      </c>
      <c r="N18">
        <v>60</v>
      </c>
      <c r="O18">
        <f>AVERAGE(P18:R18)</f>
        <v>0.17</v>
      </c>
      <c r="P18" s="3">
        <v>0.16300000000000001</v>
      </c>
      <c r="Q18" s="3">
        <v>0.16400000000000001</v>
      </c>
      <c r="R18" s="3">
        <v>0.183</v>
      </c>
    </row>
    <row r="19" spans="1:18" x14ac:dyDescent="0.35">
      <c r="A19">
        <v>45</v>
      </c>
      <c r="B19" t="e">
        <f t="shared" ref="B19:B29" si="2">AVERAGE(C19:E19)</f>
        <v>#DIV/0!</v>
      </c>
      <c r="N19">
        <v>45</v>
      </c>
      <c r="O19">
        <f>AVERAGE(P19,R19)</f>
        <v>0.1305</v>
      </c>
      <c r="P19" s="3">
        <v>0.13600000000000001</v>
      </c>
      <c r="Q19" s="3">
        <v>0.16400000000000001</v>
      </c>
      <c r="R19" s="3">
        <v>0.125</v>
      </c>
    </row>
    <row r="20" spans="1:18" x14ac:dyDescent="0.35">
      <c r="A20">
        <v>30</v>
      </c>
      <c r="B20" t="e">
        <f t="shared" si="2"/>
        <v>#DIV/0!</v>
      </c>
      <c r="N20">
        <v>30</v>
      </c>
      <c r="O20">
        <f>AVERAGE(P20:Q20)</f>
        <v>0.108</v>
      </c>
      <c r="P20" s="3">
        <v>0.10299999999999999</v>
      </c>
      <c r="Q20" s="3">
        <v>0.113</v>
      </c>
      <c r="R20" s="24">
        <v>0.129</v>
      </c>
    </row>
    <row r="21" spans="1:18" x14ac:dyDescent="0.35">
      <c r="A21">
        <v>18</v>
      </c>
      <c r="B21" t="e">
        <f t="shared" si="2"/>
        <v>#DIV/0!</v>
      </c>
      <c r="N21">
        <v>18</v>
      </c>
      <c r="O21">
        <f>AVERAGE(P21:R21)</f>
        <v>8.2000000000000003E-2</v>
      </c>
      <c r="P21" s="3">
        <v>7.5999999999999998E-2</v>
      </c>
      <c r="Q21" s="3">
        <v>8.7999999999999995E-2</v>
      </c>
      <c r="R21" s="3">
        <v>8.2000000000000003E-2</v>
      </c>
    </row>
    <row r="22" spans="1:18" x14ac:dyDescent="0.35">
      <c r="A22">
        <v>9</v>
      </c>
      <c r="B22" t="e">
        <f t="shared" si="2"/>
        <v>#DIV/0!</v>
      </c>
      <c r="N22">
        <v>9</v>
      </c>
      <c r="O22">
        <f>AVERAGE(P22:Q22)</f>
        <v>5.5500000000000001E-2</v>
      </c>
      <c r="P22" s="3">
        <v>5.7000000000000002E-2</v>
      </c>
      <c r="Q22" s="3">
        <v>5.3999999999999999E-2</v>
      </c>
      <c r="R22" s="24">
        <v>6.3E-2</v>
      </c>
    </row>
    <row r="23" spans="1:18" x14ac:dyDescent="0.35">
      <c r="A23">
        <v>6</v>
      </c>
      <c r="B23" t="e">
        <f t="shared" si="2"/>
        <v>#DIV/0!</v>
      </c>
      <c r="N23">
        <v>6</v>
      </c>
      <c r="O23">
        <f t="shared" ref="O23:O29" si="3">AVERAGE(P23:R23)</f>
        <v>4.9999999999999996E-2</v>
      </c>
      <c r="P23" s="3">
        <v>4.7E-2</v>
      </c>
      <c r="Q23" s="3">
        <v>5.1999999999999998E-2</v>
      </c>
      <c r="R23" s="3">
        <v>5.0999999999999997E-2</v>
      </c>
    </row>
    <row r="24" spans="1:18" x14ac:dyDescent="0.35">
      <c r="A24">
        <v>3</v>
      </c>
      <c r="B24" t="e">
        <f t="shared" si="2"/>
        <v>#DIV/0!</v>
      </c>
      <c r="N24">
        <v>3</v>
      </c>
      <c r="O24">
        <f t="shared" si="3"/>
        <v>4.3666666666666666E-2</v>
      </c>
      <c r="P24" s="3">
        <v>4.4999999999999998E-2</v>
      </c>
      <c r="Q24" s="3">
        <v>4.2000000000000003E-2</v>
      </c>
      <c r="R24" s="3">
        <v>4.3999999999999997E-2</v>
      </c>
    </row>
    <row r="25" spans="1:18" x14ac:dyDescent="0.35">
      <c r="A25">
        <v>0.6</v>
      </c>
      <c r="B25" t="e">
        <f t="shared" si="2"/>
        <v>#DIV/0!</v>
      </c>
      <c r="N25">
        <v>0.6</v>
      </c>
      <c r="O25">
        <f>AVERAGE(Q25:R25)</f>
        <v>3.95E-2</v>
      </c>
      <c r="P25" s="24">
        <v>4.9000000000000002E-2</v>
      </c>
      <c r="Q25" s="3">
        <v>3.9E-2</v>
      </c>
      <c r="R25" s="3">
        <v>0.04</v>
      </c>
    </row>
    <row r="26" spans="1:18" x14ac:dyDescent="0.35">
      <c r="A26">
        <v>100</v>
      </c>
      <c r="B26" t="e">
        <f t="shared" si="2"/>
        <v>#DIV/0!</v>
      </c>
      <c r="N26">
        <v>100</v>
      </c>
      <c r="O26">
        <f t="shared" si="3"/>
        <v>0.23666666666666666</v>
      </c>
      <c r="P26" s="3">
        <v>0.219</v>
      </c>
      <c r="Q26" s="3">
        <v>0.26200000000000001</v>
      </c>
      <c r="R26" s="3">
        <v>0.22900000000000001</v>
      </c>
    </row>
    <row r="27" spans="1:18" x14ac:dyDescent="0.35">
      <c r="A27">
        <v>250</v>
      </c>
      <c r="B27" t="e">
        <f t="shared" si="2"/>
        <v>#DIV/0!</v>
      </c>
      <c r="N27">
        <v>250</v>
      </c>
      <c r="O27">
        <f>AVERAGE(Q27:R27)</f>
        <v>0.29949999999999999</v>
      </c>
      <c r="P27" s="24">
        <v>0.373</v>
      </c>
      <c r="Q27" s="3">
        <v>0.30499999999999999</v>
      </c>
      <c r="R27" s="3">
        <v>0.29399999999999998</v>
      </c>
    </row>
    <row r="28" spans="1:18" x14ac:dyDescent="0.35">
      <c r="A28">
        <v>500</v>
      </c>
      <c r="B28" t="e">
        <f t="shared" si="2"/>
        <v>#DIV/0!</v>
      </c>
      <c r="N28">
        <v>500</v>
      </c>
      <c r="O28">
        <f>AVERAGE(P28:R28)</f>
        <v>0.35966666666666663</v>
      </c>
      <c r="P28" s="3">
        <v>0.35099999999999998</v>
      </c>
      <c r="Q28" s="3">
        <v>0.36499999999999999</v>
      </c>
      <c r="R28" s="3">
        <v>0.36299999999999999</v>
      </c>
    </row>
    <row r="29" spans="1:18" x14ac:dyDescent="0.35">
      <c r="A29">
        <v>0</v>
      </c>
      <c r="B29" t="e">
        <f t="shared" si="2"/>
        <v>#DIV/0!</v>
      </c>
      <c r="N29">
        <v>0</v>
      </c>
      <c r="O29">
        <f t="shared" si="3"/>
        <v>3.9666666666666663E-2</v>
      </c>
      <c r="P29" s="3">
        <v>3.7999999999999999E-2</v>
      </c>
      <c r="Q29" s="3">
        <v>0.04</v>
      </c>
      <c r="R29" s="3">
        <v>4.1000000000000002E-2</v>
      </c>
    </row>
    <row r="33" spans="15:18" x14ac:dyDescent="0.35">
      <c r="O33" s="15" t="s">
        <v>19</v>
      </c>
      <c r="P33" s="16" t="s">
        <v>20</v>
      </c>
      <c r="Q33" s="16"/>
      <c r="R33" s="16" t="s">
        <v>21</v>
      </c>
    </row>
    <row r="34" spans="15:18" x14ac:dyDescent="0.35">
      <c r="P34" t="s">
        <v>22</v>
      </c>
      <c r="Q34" t="s">
        <v>23</v>
      </c>
      <c r="R34" t="s">
        <v>24</v>
      </c>
    </row>
    <row r="35" spans="15:18" x14ac:dyDescent="0.35">
      <c r="P35" s="17">
        <f>((P18/0.8)/C3)*100</f>
        <v>117.09770114942528</v>
      </c>
      <c r="Q35" s="17">
        <f>((Q18/0.8)/D3)*100</f>
        <v>133.11688311688309</v>
      </c>
      <c r="R35" s="17">
        <f t="shared" ref="R35" si="4">((R18/0.8)/E3)*100</f>
        <v>148.53896103896102</v>
      </c>
    </row>
  </sheetData>
  <mergeCells count="2">
    <mergeCell ref="A1:L1"/>
    <mergeCell ref="N1:Y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98C2-7935-434F-93A5-A14F059BF96B}">
  <dimension ref="A3:N71"/>
  <sheetViews>
    <sheetView workbookViewId="0">
      <selection activeCell="O20" sqref="O20"/>
    </sheetView>
  </sheetViews>
  <sheetFormatPr defaultRowHeight="14.5" x14ac:dyDescent="0.35"/>
  <sheetData>
    <row r="3" spans="1:14" ht="15" thickBot="1" x14ac:dyDescent="0.4">
      <c r="A3" s="1" t="s">
        <v>37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14" ht="15" thickBot="1" x14ac:dyDescent="0.4">
      <c r="A4" s="2" t="s">
        <v>1</v>
      </c>
      <c r="B4" s="25">
        <v>3.9E-2</v>
      </c>
      <c r="C4" s="26">
        <v>3.6999999999999998E-2</v>
      </c>
      <c r="D4" s="26">
        <v>3.6999999999999998E-2</v>
      </c>
      <c r="E4" s="26">
        <v>0.22600000000000001</v>
      </c>
      <c r="F4" s="26">
        <v>0.253</v>
      </c>
      <c r="G4" s="26">
        <v>0.245</v>
      </c>
      <c r="H4" s="26">
        <v>0.04</v>
      </c>
      <c r="I4" s="26">
        <v>0.04</v>
      </c>
      <c r="J4" s="26">
        <v>3.9E-2</v>
      </c>
      <c r="K4" s="26">
        <v>3.9E-2</v>
      </c>
      <c r="L4" s="26">
        <v>3.9E-2</v>
      </c>
      <c r="M4" s="26">
        <v>4.1000000000000002E-2</v>
      </c>
      <c r="N4" s="18">
        <v>562</v>
      </c>
    </row>
    <row r="5" spans="1:14" ht="15" thickBot="1" x14ac:dyDescent="0.4">
      <c r="A5" s="2" t="s">
        <v>2</v>
      </c>
      <c r="B5" s="27">
        <v>3.5999999999999997E-2</v>
      </c>
      <c r="C5" s="28">
        <v>3.6999999999999998E-2</v>
      </c>
      <c r="D5" s="28">
        <v>3.5999999999999997E-2</v>
      </c>
      <c r="E5" s="28">
        <v>0.48699999999999999</v>
      </c>
      <c r="F5" s="28">
        <v>0.51</v>
      </c>
      <c r="G5" s="28">
        <v>0.499</v>
      </c>
      <c r="H5" s="28">
        <v>3.9E-2</v>
      </c>
      <c r="I5" s="28">
        <v>3.9E-2</v>
      </c>
      <c r="J5" s="28">
        <v>3.9E-2</v>
      </c>
      <c r="K5" s="28">
        <v>4.1000000000000002E-2</v>
      </c>
      <c r="L5" s="28">
        <v>4.2999999999999997E-2</v>
      </c>
      <c r="M5" s="28">
        <v>4.1000000000000002E-2</v>
      </c>
      <c r="N5" s="18">
        <v>562</v>
      </c>
    </row>
    <row r="6" spans="1:14" ht="15" thickBot="1" x14ac:dyDescent="0.4">
      <c r="A6" s="2" t="s">
        <v>3</v>
      </c>
      <c r="B6" s="27">
        <v>3.6999999999999998E-2</v>
      </c>
      <c r="C6" s="28">
        <v>3.6999999999999998E-2</v>
      </c>
      <c r="D6" s="28">
        <v>3.6999999999999998E-2</v>
      </c>
      <c r="E6" s="28" t="s">
        <v>76</v>
      </c>
      <c r="F6" s="28">
        <v>0.871</v>
      </c>
      <c r="G6" s="28">
        <v>0.86299999999999999</v>
      </c>
      <c r="H6" s="28">
        <v>3.7999999999999999E-2</v>
      </c>
      <c r="I6" s="28">
        <v>3.7999999999999999E-2</v>
      </c>
      <c r="J6" s="28">
        <v>3.7999999999999999E-2</v>
      </c>
      <c r="K6" s="28">
        <v>4.2000000000000003E-2</v>
      </c>
      <c r="L6" s="28">
        <v>4.3999999999999997E-2</v>
      </c>
      <c r="M6" s="28">
        <v>4.3999999999999997E-2</v>
      </c>
      <c r="N6" s="18">
        <v>562</v>
      </c>
    </row>
    <row r="7" spans="1:14" ht="15" thickBot="1" x14ac:dyDescent="0.4">
      <c r="A7" s="2" t="s">
        <v>4</v>
      </c>
      <c r="B7" s="27">
        <v>3.9E-2</v>
      </c>
      <c r="C7" s="28">
        <v>3.5999999999999997E-2</v>
      </c>
      <c r="D7" s="28">
        <v>3.5999999999999997E-2</v>
      </c>
      <c r="E7" s="28">
        <v>0.17399999999999999</v>
      </c>
      <c r="F7" s="28">
        <v>0.154</v>
      </c>
      <c r="G7" s="28">
        <v>0.154</v>
      </c>
      <c r="H7" s="28">
        <v>3.7999999999999999E-2</v>
      </c>
      <c r="I7" s="28">
        <v>3.7999999999999999E-2</v>
      </c>
      <c r="J7" s="28">
        <v>3.7999999999999999E-2</v>
      </c>
      <c r="K7" s="28">
        <v>5.6000000000000001E-2</v>
      </c>
      <c r="L7" s="28">
        <v>5.8999999999999997E-2</v>
      </c>
      <c r="M7" s="28">
        <v>5.7000000000000002E-2</v>
      </c>
      <c r="N7" s="18">
        <v>562</v>
      </c>
    </row>
    <row r="8" spans="1:14" ht="15" thickBot="1" x14ac:dyDescent="0.4">
      <c r="A8" s="2" t="s">
        <v>5</v>
      </c>
      <c r="B8" s="27">
        <v>3.7999999999999999E-2</v>
      </c>
      <c r="C8" s="28">
        <v>3.5999999999999997E-2</v>
      </c>
      <c r="D8" s="28">
        <v>3.6999999999999998E-2</v>
      </c>
      <c r="E8" s="28">
        <v>0.123</v>
      </c>
      <c r="F8" s="28">
        <v>0.13100000000000001</v>
      </c>
      <c r="G8" s="28">
        <v>0.121</v>
      </c>
      <c r="H8" s="28">
        <v>3.6999999999999998E-2</v>
      </c>
      <c r="I8" s="28">
        <v>3.6999999999999998E-2</v>
      </c>
      <c r="J8" s="28">
        <v>3.6999999999999998E-2</v>
      </c>
      <c r="K8" s="28">
        <v>4.7E-2</v>
      </c>
      <c r="L8" s="28">
        <v>4.7E-2</v>
      </c>
      <c r="M8" s="28">
        <v>4.8000000000000001E-2</v>
      </c>
      <c r="N8" s="18">
        <v>562</v>
      </c>
    </row>
    <row r="9" spans="1:14" ht="15" thickBot="1" x14ac:dyDescent="0.4">
      <c r="A9" s="2" t="s">
        <v>6</v>
      </c>
      <c r="B9" s="27">
        <v>4.9000000000000002E-2</v>
      </c>
      <c r="C9" s="28">
        <v>5.6000000000000001E-2</v>
      </c>
      <c r="D9" s="28">
        <v>0.05</v>
      </c>
      <c r="E9" s="28">
        <v>9.5000000000000001E-2</v>
      </c>
      <c r="F9" s="28">
        <v>0.105</v>
      </c>
      <c r="G9" s="28">
        <v>9.1999999999999998E-2</v>
      </c>
      <c r="H9" s="28">
        <v>3.6999999999999998E-2</v>
      </c>
      <c r="I9" s="28">
        <v>3.7999999999999999E-2</v>
      </c>
      <c r="J9" s="28">
        <v>3.7999999999999999E-2</v>
      </c>
      <c r="K9" s="28">
        <v>4.7E-2</v>
      </c>
      <c r="L9" s="28">
        <v>4.7E-2</v>
      </c>
      <c r="M9" s="28">
        <v>4.7E-2</v>
      </c>
      <c r="N9" s="18">
        <v>562</v>
      </c>
    </row>
    <row r="10" spans="1:14" ht="15" thickBot="1" x14ac:dyDescent="0.4">
      <c r="A10" s="2" t="s">
        <v>7</v>
      </c>
      <c r="B10" s="27">
        <v>4.2999999999999997E-2</v>
      </c>
      <c r="C10" s="28">
        <v>4.2000000000000003E-2</v>
      </c>
      <c r="D10" s="28">
        <v>4.3999999999999997E-2</v>
      </c>
      <c r="E10" s="28">
        <v>7.0999999999999994E-2</v>
      </c>
      <c r="F10" s="28">
        <v>7.2999999999999995E-2</v>
      </c>
      <c r="G10" s="28">
        <v>7.3999999999999996E-2</v>
      </c>
      <c r="H10" s="28">
        <v>3.6999999999999998E-2</v>
      </c>
      <c r="I10" s="28">
        <v>3.6999999999999998E-2</v>
      </c>
      <c r="J10" s="28">
        <v>3.6999999999999998E-2</v>
      </c>
      <c r="K10" s="28">
        <v>4.7E-2</v>
      </c>
      <c r="L10" s="28">
        <v>4.7E-2</v>
      </c>
      <c r="M10" s="28">
        <v>4.7E-2</v>
      </c>
      <c r="N10" s="18">
        <v>562</v>
      </c>
    </row>
    <row r="11" spans="1:14" ht="15" thickBot="1" x14ac:dyDescent="0.4">
      <c r="A11" s="2" t="s">
        <v>8</v>
      </c>
      <c r="B11" s="27">
        <v>3.7999999999999999E-2</v>
      </c>
      <c r="C11" s="28">
        <v>3.9E-2</v>
      </c>
      <c r="D11" s="28">
        <v>3.7999999999999999E-2</v>
      </c>
      <c r="E11" s="28">
        <v>3.9E-2</v>
      </c>
      <c r="F11" s="28">
        <v>3.6999999999999998E-2</v>
      </c>
      <c r="G11" s="28">
        <v>3.6999999999999998E-2</v>
      </c>
      <c r="H11" s="28">
        <v>3.9E-2</v>
      </c>
      <c r="I11" s="28">
        <v>3.6999999999999998E-2</v>
      </c>
      <c r="J11" s="28">
        <v>3.9E-2</v>
      </c>
      <c r="K11" s="28">
        <v>3.7999999999999999E-2</v>
      </c>
      <c r="L11" s="28">
        <v>3.7999999999999999E-2</v>
      </c>
      <c r="M11" s="28">
        <v>3.7999999999999999E-2</v>
      </c>
      <c r="N11" s="18">
        <v>562</v>
      </c>
    </row>
    <row r="13" spans="1:14" ht="15" thickBot="1" x14ac:dyDescent="0.4">
      <c r="A13" s="1" t="s">
        <v>38</v>
      </c>
      <c r="B13" s="2">
        <v>1</v>
      </c>
      <c r="C13" s="2">
        <v>2</v>
      </c>
      <c r="D13" s="2">
        <v>3</v>
      </c>
      <c r="E13" s="2">
        <v>4</v>
      </c>
      <c r="F13" s="2">
        <v>5</v>
      </c>
      <c r="G13" s="2">
        <v>6</v>
      </c>
      <c r="H13" s="2">
        <v>7</v>
      </c>
      <c r="I13" s="2">
        <v>8</v>
      </c>
      <c r="J13" s="2">
        <v>9</v>
      </c>
      <c r="K13" s="2">
        <v>10</v>
      </c>
      <c r="L13" s="2">
        <v>11</v>
      </c>
      <c r="M13" s="2">
        <v>12</v>
      </c>
    </row>
    <row r="14" spans="1:14" ht="15" thickBot="1" x14ac:dyDescent="0.4">
      <c r="A14" s="2" t="s">
        <v>1</v>
      </c>
      <c r="B14" s="25">
        <v>5.8999999999999997E-2</v>
      </c>
      <c r="C14" s="26">
        <v>3.7999999999999999E-2</v>
      </c>
      <c r="D14" s="26">
        <v>3.6999999999999998E-2</v>
      </c>
      <c r="E14" s="26">
        <v>0.39900000000000002</v>
      </c>
      <c r="F14" s="26">
        <v>0.42099999999999999</v>
      </c>
      <c r="G14" s="26">
        <v>0.47199999999999998</v>
      </c>
      <c r="H14" s="26">
        <v>0.16300000000000001</v>
      </c>
      <c r="I14" s="26">
        <v>0.16400000000000001</v>
      </c>
      <c r="J14" s="26">
        <v>0.183</v>
      </c>
      <c r="K14" s="26">
        <v>0.219</v>
      </c>
      <c r="L14" s="26">
        <v>0.26200000000000001</v>
      </c>
      <c r="M14" s="26">
        <v>0.22900000000000001</v>
      </c>
      <c r="N14" s="18">
        <v>562</v>
      </c>
    </row>
    <row r="15" spans="1:14" ht="15" thickBot="1" x14ac:dyDescent="0.4">
      <c r="A15" s="2" t="s">
        <v>2</v>
      </c>
      <c r="B15" s="27">
        <v>3.5999999999999997E-2</v>
      </c>
      <c r="C15" s="28">
        <v>3.6999999999999998E-2</v>
      </c>
      <c r="D15" s="28">
        <v>3.6999999999999998E-2</v>
      </c>
      <c r="E15" s="28">
        <v>0.65200000000000002</v>
      </c>
      <c r="F15" s="28">
        <v>0.747</v>
      </c>
      <c r="G15" s="28">
        <v>0.68</v>
      </c>
      <c r="H15" s="28">
        <v>0.13600000000000001</v>
      </c>
      <c r="I15" s="28">
        <v>0.16400000000000001</v>
      </c>
      <c r="J15" s="28">
        <v>0.125</v>
      </c>
      <c r="K15" s="28" t="s">
        <v>76</v>
      </c>
      <c r="L15" s="28">
        <v>0.30499999999999999</v>
      </c>
      <c r="M15" s="28">
        <v>0.29399999999999998</v>
      </c>
      <c r="N15" s="18">
        <v>562</v>
      </c>
    </row>
    <row r="16" spans="1:14" ht="15" thickBot="1" x14ac:dyDescent="0.4">
      <c r="A16" s="2" t="s">
        <v>3</v>
      </c>
      <c r="B16" s="27">
        <v>3.6999999999999998E-2</v>
      </c>
      <c r="C16" s="28">
        <v>3.6999999999999998E-2</v>
      </c>
      <c r="D16" s="28">
        <v>3.5999999999999997E-2</v>
      </c>
      <c r="E16" s="28">
        <v>0.91</v>
      </c>
      <c r="F16" s="28">
        <v>0.96299999999999997</v>
      </c>
      <c r="G16" s="28">
        <v>0.96599999999999997</v>
      </c>
      <c r="H16" s="28">
        <v>0.10299999999999999</v>
      </c>
      <c r="I16" s="28">
        <v>0.113</v>
      </c>
      <c r="J16" s="28" t="s">
        <v>76</v>
      </c>
      <c r="K16" s="28">
        <v>0.35099999999999998</v>
      </c>
      <c r="L16" s="28">
        <v>0.36499999999999999</v>
      </c>
      <c r="M16" s="28">
        <v>0.36299999999999999</v>
      </c>
      <c r="N16" s="18">
        <v>562</v>
      </c>
    </row>
    <row r="17" spans="1:14" ht="15" thickBot="1" x14ac:dyDescent="0.4">
      <c r="A17" s="2" t="s">
        <v>4</v>
      </c>
      <c r="B17" s="27">
        <v>3.9E-2</v>
      </c>
      <c r="C17" s="28">
        <v>3.6999999999999998E-2</v>
      </c>
      <c r="D17" s="28">
        <v>3.5999999999999997E-2</v>
      </c>
      <c r="E17" s="28">
        <v>0.28899999999999998</v>
      </c>
      <c r="F17" s="28">
        <v>0.27</v>
      </c>
      <c r="G17" s="28">
        <v>0.27100000000000002</v>
      </c>
      <c r="H17" s="28">
        <v>7.5999999999999998E-2</v>
      </c>
      <c r="I17" s="28">
        <v>8.7999999999999995E-2</v>
      </c>
      <c r="J17" s="28">
        <v>8.2000000000000003E-2</v>
      </c>
      <c r="K17" s="28">
        <v>7.2999999999999995E-2</v>
      </c>
      <c r="L17" s="28">
        <v>0.08</v>
      </c>
      <c r="M17" s="28">
        <v>7.3999999999999996E-2</v>
      </c>
      <c r="N17" s="18">
        <v>562</v>
      </c>
    </row>
    <row r="18" spans="1:14" ht="15" thickBot="1" x14ac:dyDescent="0.4">
      <c r="A18" s="2" t="s">
        <v>5</v>
      </c>
      <c r="B18" s="27">
        <v>3.7999999999999999E-2</v>
      </c>
      <c r="C18" s="28">
        <v>3.5999999999999997E-2</v>
      </c>
      <c r="D18" s="28">
        <v>3.6999999999999998E-2</v>
      </c>
      <c r="E18" s="28">
        <v>0.20499999999999999</v>
      </c>
      <c r="F18" s="28">
        <v>0.224</v>
      </c>
      <c r="G18" s="28">
        <v>0.19600000000000001</v>
      </c>
      <c r="H18" s="28">
        <v>5.7000000000000002E-2</v>
      </c>
      <c r="I18" s="28">
        <v>5.3999999999999999E-2</v>
      </c>
      <c r="J18" s="28" t="s">
        <v>76</v>
      </c>
      <c r="K18" s="28">
        <v>0.05</v>
      </c>
      <c r="L18" s="28">
        <v>4.7E-2</v>
      </c>
      <c r="M18" s="28">
        <v>4.8000000000000001E-2</v>
      </c>
      <c r="N18" s="18">
        <v>562</v>
      </c>
    </row>
    <row r="19" spans="1:14" ht="15" thickBot="1" x14ac:dyDescent="0.4">
      <c r="A19" s="2" t="s">
        <v>6</v>
      </c>
      <c r="B19" s="27">
        <v>6.3E-2</v>
      </c>
      <c r="C19" s="28">
        <v>7.4999999999999997E-2</v>
      </c>
      <c r="D19" s="28">
        <v>6.0999999999999999E-2</v>
      </c>
      <c r="E19" s="28">
        <v>0.157</v>
      </c>
      <c r="F19" s="28">
        <v>0.156</v>
      </c>
      <c r="G19" s="28">
        <v>0.16600000000000001</v>
      </c>
      <c r="H19" s="28">
        <v>4.7E-2</v>
      </c>
      <c r="I19" s="28">
        <v>5.1999999999999998E-2</v>
      </c>
      <c r="J19" s="28">
        <v>5.0999999999999997E-2</v>
      </c>
      <c r="K19" s="28">
        <v>4.7E-2</v>
      </c>
      <c r="L19" s="28">
        <v>4.7E-2</v>
      </c>
      <c r="M19" s="28">
        <v>4.7E-2</v>
      </c>
      <c r="N19" s="18">
        <v>562</v>
      </c>
    </row>
    <row r="20" spans="1:14" ht="15" thickBot="1" x14ac:dyDescent="0.4">
      <c r="A20" s="2" t="s">
        <v>7</v>
      </c>
      <c r="B20" s="27">
        <v>0.05</v>
      </c>
      <c r="C20" s="28">
        <v>5.0999999999999997E-2</v>
      </c>
      <c r="D20" s="28">
        <v>5.5E-2</v>
      </c>
      <c r="E20" s="28">
        <v>0.10299999999999999</v>
      </c>
      <c r="F20" s="28">
        <v>0.11700000000000001</v>
      </c>
      <c r="G20" s="28">
        <v>0.12</v>
      </c>
      <c r="H20" s="28">
        <v>4.4999999999999998E-2</v>
      </c>
      <c r="I20" s="28">
        <v>4.2000000000000003E-2</v>
      </c>
      <c r="J20" s="28">
        <v>4.3999999999999997E-2</v>
      </c>
      <c r="K20" s="28">
        <v>4.7E-2</v>
      </c>
      <c r="L20" s="28">
        <v>4.9000000000000002E-2</v>
      </c>
      <c r="M20" s="28">
        <v>4.7E-2</v>
      </c>
      <c r="N20" s="18">
        <v>562</v>
      </c>
    </row>
    <row r="21" spans="1:14" ht="15" thickBot="1" x14ac:dyDescent="0.4">
      <c r="A21" s="2" t="s">
        <v>8</v>
      </c>
      <c r="B21" s="27">
        <v>4.1000000000000002E-2</v>
      </c>
      <c r="C21" s="28">
        <v>0.04</v>
      </c>
      <c r="D21" s="28">
        <v>0.04</v>
      </c>
      <c r="E21" s="28">
        <v>3.9E-2</v>
      </c>
      <c r="F21" s="28">
        <v>0.04</v>
      </c>
      <c r="G21" s="28">
        <v>3.7999999999999999E-2</v>
      </c>
      <c r="H21" s="28" t="s">
        <v>76</v>
      </c>
      <c r="I21" s="28">
        <v>3.9E-2</v>
      </c>
      <c r="J21" s="28">
        <v>0.04</v>
      </c>
      <c r="K21" s="28">
        <v>3.7999999999999999E-2</v>
      </c>
      <c r="L21" s="28">
        <v>0.04</v>
      </c>
      <c r="M21" s="28">
        <v>4.1000000000000002E-2</v>
      </c>
      <c r="N21" s="18">
        <v>562</v>
      </c>
    </row>
    <row r="22" spans="1:14" x14ac:dyDescent="0.35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18"/>
    </row>
    <row r="23" spans="1:14" x14ac:dyDescent="0.35">
      <c r="A23" s="21" t="s">
        <v>39</v>
      </c>
    </row>
    <row r="24" spans="1:14" x14ac:dyDescent="0.35">
      <c r="A24" s="1" t="s">
        <v>40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4" x14ac:dyDescent="0.35">
      <c r="A25" s="2" t="s">
        <v>1</v>
      </c>
      <c r="B25" s="3">
        <v>0.109</v>
      </c>
      <c r="C25" s="3">
        <v>0.109</v>
      </c>
      <c r="D25" s="3">
        <v>0.107</v>
      </c>
      <c r="E25" s="3">
        <v>6.3E-2</v>
      </c>
      <c r="F25" s="3">
        <v>6.0999999999999999E-2</v>
      </c>
      <c r="G25" s="3">
        <v>6.5000000000000002E-2</v>
      </c>
      <c r="H25" s="3">
        <v>4.7E-2</v>
      </c>
      <c r="I25" s="3">
        <v>0.05</v>
      </c>
      <c r="J25" s="3">
        <v>4.7E-2</v>
      </c>
      <c r="K25" s="3">
        <v>4.8000000000000001E-2</v>
      </c>
      <c r="L25" s="3">
        <v>5.5E-2</v>
      </c>
      <c r="M25" s="3">
        <v>4.8000000000000001E-2</v>
      </c>
      <c r="N25" s="18">
        <v>562</v>
      </c>
    </row>
    <row r="26" spans="1:14" x14ac:dyDescent="0.35">
      <c r="A26" s="2" t="s">
        <v>2</v>
      </c>
      <c r="B26" s="3">
        <v>0.14899999999999999</v>
      </c>
      <c r="C26" s="3">
        <v>7.5999999999999998E-2</v>
      </c>
      <c r="D26" s="3">
        <v>9.0999999999999998E-2</v>
      </c>
      <c r="E26" s="3">
        <v>5.5E-2</v>
      </c>
      <c r="F26" s="3">
        <v>4.8000000000000001E-2</v>
      </c>
      <c r="G26" s="3">
        <v>4.5999999999999999E-2</v>
      </c>
      <c r="H26" s="3">
        <v>5.5E-2</v>
      </c>
      <c r="I26" s="3">
        <v>5.3999999999999999E-2</v>
      </c>
      <c r="J26" s="3">
        <v>5.1999999999999998E-2</v>
      </c>
      <c r="K26" s="3">
        <v>4.7E-2</v>
      </c>
      <c r="L26" s="3">
        <v>4.7E-2</v>
      </c>
      <c r="M26" s="3">
        <v>4.5999999999999999E-2</v>
      </c>
      <c r="N26" s="18">
        <v>562</v>
      </c>
    </row>
    <row r="27" spans="1:14" x14ac:dyDescent="0.35">
      <c r="A27" s="2" t="s">
        <v>3</v>
      </c>
      <c r="B27" s="3">
        <v>4.3999999999999997E-2</v>
      </c>
      <c r="C27" s="3">
        <v>4.3999999999999997E-2</v>
      </c>
      <c r="D27" s="3">
        <v>4.2999999999999997E-2</v>
      </c>
      <c r="E27" s="3">
        <v>4.4999999999999998E-2</v>
      </c>
      <c r="F27" s="3">
        <v>5.8000000000000003E-2</v>
      </c>
      <c r="G27" s="3">
        <v>4.7E-2</v>
      </c>
      <c r="H27" s="3">
        <v>8.1000000000000003E-2</v>
      </c>
      <c r="I27" s="3">
        <v>7.5999999999999998E-2</v>
      </c>
      <c r="J27" s="3">
        <v>7.6999999999999999E-2</v>
      </c>
      <c r="K27" s="3">
        <v>4.7E-2</v>
      </c>
      <c r="L27" s="3">
        <v>4.7E-2</v>
      </c>
      <c r="M27" s="3">
        <v>4.7E-2</v>
      </c>
      <c r="N27" s="18">
        <v>562</v>
      </c>
    </row>
    <row r="28" spans="1:14" x14ac:dyDescent="0.35">
      <c r="A28" s="2" t="s">
        <v>4</v>
      </c>
      <c r="B28" s="3">
        <v>3.7999999999999999E-2</v>
      </c>
      <c r="C28" s="3">
        <v>3.7999999999999999E-2</v>
      </c>
      <c r="D28" s="3">
        <v>3.7999999999999999E-2</v>
      </c>
      <c r="E28" s="3">
        <v>4.7E-2</v>
      </c>
      <c r="F28" s="3">
        <v>4.4999999999999998E-2</v>
      </c>
      <c r="G28" s="3">
        <v>4.5999999999999999E-2</v>
      </c>
      <c r="H28" s="3">
        <v>7.5999999999999998E-2</v>
      </c>
      <c r="I28" s="3">
        <v>7.6999999999999999E-2</v>
      </c>
      <c r="J28" s="3">
        <v>7.5999999999999998E-2</v>
      </c>
      <c r="K28" s="3">
        <v>4.8000000000000001E-2</v>
      </c>
      <c r="L28" s="3">
        <v>4.8000000000000001E-2</v>
      </c>
      <c r="M28" s="3">
        <v>4.7E-2</v>
      </c>
      <c r="N28" s="18">
        <v>562</v>
      </c>
    </row>
    <row r="29" spans="1:14" x14ac:dyDescent="0.35">
      <c r="A29" s="2" t="s">
        <v>5</v>
      </c>
      <c r="B29" s="3">
        <v>3.9E-2</v>
      </c>
      <c r="C29" s="3">
        <v>3.9E-2</v>
      </c>
      <c r="D29" s="3">
        <v>3.7999999999999999E-2</v>
      </c>
      <c r="E29" s="3">
        <v>4.2999999999999997E-2</v>
      </c>
      <c r="F29" s="3">
        <v>4.5999999999999999E-2</v>
      </c>
      <c r="G29" s="3">
        <v>4.2999999999999997E-2</v>
      </c>
      <c r="H29" s="3">
        <v>5.1999999999999998E-2</v>
      </c>
      <c r="I29" s="3">
        <v>5.1999999999999998E-2</v>
      </c>
      <c r="J29" s="3">
        <v>5.0999999999999997E-2</v>
      </c>
      <c r="K29" s="3">
        <v>4.8000000000000001E-2</v>
      </c>
      <c r="L29" s="3">
        <v>4.7E-2</v>
      </c>
      <c r="M29" s="3">
        <v>4.7E-2</v>
      </c>
      <c r="N29" s="18">
        <v>562</v>
      </c>
    </row>
    <row r="30" spans="1:14" x14ac:dyDescent="0.35">
      <c r="A30" s="2" t="s">
        <v>6</v>
      </c>
      <c r="B30" s="3">
        <v>3.6999999999999998E-2</v>
      </c>
      <c r="C30" s="3">
        <v>3.6999999999999998E-2</v>
      </c>
      <c r="D30" s="3">
        <v>3.7999999999999999E-2</v>
      </c>
      <c r="E30" s="3">
        <v>4.7E-2</v>
      </c>
      <c r="F30" s="3">
        <v>4.7E-2</v>
      </c>
      <c r="G30" s="3">
        <v>4.5999999999999999E-2</v>
      </c>
      <c r="H30" s="3">
        <v>0.13500000000000001</v>
      </c>
      <c r="I30" s="3">
        <v>0.152</v>
      </c>
      <c r="J30" s="3">
        <v>0.14699999999999999</v>
      </c>
      <c r="K30" s="3">
        <v>4.8000000000000001E-2</v>
      </c>
      <c r="L30" s="3">
        <v>4.7E-2</v>
      </c>
      <c r="M30" s="3">
        <v>4.7E-2</v>
      </c>
      <c r="N30" s="18">
        <v>562</v>
      </c>
    </row>
    <row r="31" spans="1:14" x14ac:dyDescent="0.35">
      <c r="A31" s="2" t="s">
        <v>7</v>
      </c>
      <c r="B31" s="3">
        <v>3.6999999999999998E-2</v>
      </c>
      <c r="C31" s="3">
        <v>3.7999999999999999E-2</v>
      </c>
      <c r="D31" s="3">
        <v>3.6999999999999998E-2</v>
      </c>
      <c r="E31" s="3">
        <v>5.5E-2</v>
      </c>
      <c r="F31" s="3">
        <v>5.2999999999999999E-2</v>
      </c>
      <c r="G31" s="3">
        <v>5.2999999999999999E-2</v>
      </c>
      <c r="H31" s="3">
        <v>4.9000000000000002E-2</v>
      </c>
      <c r="I31" s="3">
        <v>4.9000000000000002E-2</v>
      </c>
      <c r="J31" s="3">
        <v>4.9000000000000002E-2</v>
      </c>
      <c r="K31" s="3">
        <v>4.7E-2</v>
      </c>
      <c r="L31" s="3">
        <v>4.9000000000000002E-2</v>
      </c>
      <c r="M31" s="3">
        <v>4.7E-2</v>
      </c>
      <c r="N31" s="18">
        <v>562</v>
      </c>
    </row>
    <row r="32" spans="1:14" x14ac:dyDescent="0.35">
      <c r="A32" s="2" t="s">
        <v>8</v>
      </c>
      <c r="B32" s="3">
        <v>3.6999999999999998E-2</v>
      </c>
      <c r="C32" s="3">
        <v>3.6999999999999998E-2</v>
      </c>
      <c r="D32" s="3">
        <v>3.9E-2</v>
      </c>
      <c r="E32" s="3">
        <v>5.0999999999999997E-2</v>
      </c>
      <c r="F32" s="3">
        <v>0.05</v>
      </c>
      <c r="G32" s="3">
        <v>0.05</v>
      </c>
      <c r="H32" s="3">
        <v>4.5999999999999999E-2</v>
      </c>
      <c r="I32" s="3">
        <v>4.7E-2</v>
      </c>
      <c r="J32" s="3">
        <v>4.8000000000000001E-2</v>
      </c>
      <c r="K32" s="3">
        <v>4.7E-2</v>
      </c>
      <c r="L32" s="3">
        <v>4.7E-2</v>
      </c>
      <c r="M32" s="3">
        <v>4.7E-2</v>
      </c>
      <c r="N32" s="18">
        <v>562</v>
      </c>
    </row>
    <row r="35" spans="1:14" x14ac:dyDescent="0.35">
      <c r="A35" s="21" t="s">
        <v>41</v>
      </c>
    </row>
    <row r="37" spans="1:14" x14ac:dyDescent="0.35">
      <c r="A37" s="1" t="s">
        <v>40</v>
      </c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</row>
    <row r="38" spans="1:14" x14ac:dyDescent="0.35">
      <c r="A38" s="2" t="s">
        <v>1</v>
      </c>
      <c r="B38" s="3">
        <v>0.109</v>
      </c>
      <c r="C38" s="3">
        <v>0.11799999999999999</v>
      </c>
      <c r="D38" s="3">
        <v>0.107</v>
      </c>
      <c r="E38" s="3">
        <v>4.9000000000000002E-2</v>
      </c>
      <c r="F38" s="3">
        <v>4.9000000000000002E-2</v>
      </c>
      <c r="G38" s="3">
        <v>4.9000000000000002E-2</v>
      </c>
      <c r="H38" s="3">
        <v>4.8000000000000001E-2</v>
      </c>
      <c r="I38" s="3">
        <v>4.8000000000000001E-2</v>
      </c>
      <c r="J38" s="3">
        <v>4.7E-2</v>
      </c>
      <c r="K38" s="3">
        <v>8.5000000000000006E-2</v>
      </c>
      <c r="L38" s="3">
        <v>8.3000000000000004E-2</v>
      </c>
      <c r="M38" s="3">
        <v>8.1000000000000003E-2</v>
      </c>
      <c r="N38" s="18">
        <v>562</v>
      </c>
    </row>
    <row r="39" spans="1:14" x14ac:dyDescent="0.35">
      <c r="A39" s="2" t="s">
        <v>2</v>
      </c>
      <c r="B39" s="3">
        <v>7.5999999999999998E-2</v>
      </c>
      <c r="C39" s="3">
        <v>7.9000000000000001E-2</v>
      </c>
      <c r="D39" s="3">
        <v>8.3000000000000004E-2</v>
      </c>
      <c r="E39" s="3">
        <v>9.2999999999999999E-2</v>
      </c>
      <c r="F39" s="3">
        <v>0.09</v>
      </c>
      <c r="G39" s="3">
        <v>8.8999999999999996E-2</v>
      </c>
      <c r="H39" s="3">
        <v>6.6000000000000003E-2</v>
      </c>
      <c r="I39" s="3">
        <v>6.5000000000000002E-2</v>
      </c>
      <c r="J39" s="3">
        <v>6.4000000000000001E-2</v>
      </c>
      <c r="K39" s="3">
        <v>4.7E-2</v>
      </c>
      <c r="L39" s="3">
        <v>4.7E-2</v>
      </c>
      <c r="M39" s="3">
        <v>4.7E-2</v>
      </c>
      <c r="N39" s="18">
        <v>562</v>
      </c>
    </row>
    <row r="40" spans="1:14" x14ac:dyDescent="0.35">
      <c r="A40" s="2" t="s">
        <v>3</v>
      </c>
      <c r="B40" s="3">
        <v>4.3999999999999997E-2</v>
      </c>
      <c r="C40" s="3">
        <v>4.4999999999999998E-2</v>
      </c>
      <c r="D40" s="3">
        <v>4.3999999999999997E-2</v>
      </c>
      <c r="E40" s="3">
        <v>0.15</v>
      </c>
      <c r="F40" s="3">
        <v>0.14099999999999999</v>
      </c>
      <c r="G40" s="3">
        <v>0.10199999999999999</v>
      </c>
      <c r="H40" s="3">
        <v>0.10199999999999999</v>
      </c>
      <c r="I40" s="3">
        <v>0.104</v>
      </c>
      <c r="J40" s="3">
        <v>0.10100000000000001</v>
      </c>
      <c r="K40" s="3">
        <v>4.8000000000000001E-2</v>
      </c>
      <c r="L40" s="3">
        <v>4.8000000000000001E-2</v>
      </c>
      <c r="M40" s="3">
        <v>4.8000000000000001E-2</v>
      </c>
      <c r="N40" s="18">
        <v>562</v>
      </c>
    </row>
    <row r="41" spans="1:14" x14ac:dyDescent="0.35">
      <c r="A41" s="2" t="s">
        <v>4</v>
      </c>
      <c r="B41" s="3">
        <v>3.7999999999999999E-2</v>
      </c>
      <c r="C41" s="3">
        <v>3.7999999999999999E-2</v>
      </c>
      <c r="D41" s="3">
        <v>3.7999999999999999E-2</v>
      </c>
      <c r="E41" s="3">
        <v>7.0000000000000007E-2</v>
      </c>
      <c r="F41" s="3">
        <v>7.6999999999999999E-2</v>
      </c>
      <c r="G41" s="3">
        <v>6.8000000000000005E-2</v>
      </c>
      <c r="H41" s="3">
        <v>0.10199999999999999</v>
      </c>
      <c r="I41" s="3">
        <v>0.10199999999999999</v>
      </c>
      <c r="J41" s="3">
        <v>0.10100000000000001</v>
      </c>
      <c r="K41" s="3">
        <v>4.7E-2</v>
      </c>
      <c r="L41" s="3">
        <v>4.7E-2</v>
      </c>
      <c r="M41" s="3">
        <v>4.8000000000000001E-2</v>
      </c>
      <c r="N41" s="18">
        <v>562</v>
      </c>
    </row>
    <row r="42" spans="1:14" x14ac:dyDescent="0.35">
      <c r="A42" s="2" t="s">
        <v>5</v>
      </c>
      <c r="B42" s="3">
        <v>3.9E-2</v>
      </c>
      <c r="C42" s="3">
        <v>3.9E-2</v>
      </c>
      <c r="D42" s="3">
        <v>3.9E-2</v>
      </c>
      <c r="E42" s="3">
        <v>0.17799999999999999</v>
      </c>
      <c r="F42" s="3">
        <v>0.19500000000000001</v>
      </c>
      <c r="G42" s="3">
        <v>0.17100000000000001</v>
      </c>
      <c r="H42" s="3">
        <v>7.3999999999999996E-2</v>
      </c>
      <c r="I42" s="3">
        <v>7.2999999999999995E-2</v>
      </c>
      <c r="J42" s="3">
        <v>7.1999999999999995E-2</v>
      </c>
      <c r="K42" s="3">
        <v>4.7E-2</v>
      </c>
      <c r="L42" s="3">
        <v>4.8000000000000001E-2</v>
      </c>
      <c r="M42" s="3">
        <v>4.8000000000000001E-2</v>
      </c>
      <c r="N42" s="18">
        <v>562</v>
      </c>
    </row>
    <row r="43" spans="1:14" x14ac:dyDescent="0.35">
      <c r="A43" s="2" t="s">
        <v>6</v>
      </c>
      <c r="B43" s="3">
        <v>0.04</v>
      </c>
      <c r="C43" s="3">
        <v>3.9E-2</v>
      </c>
      <c r="D43" s="3">
        <v>3.7999999999999999E-2</v>
      </c>
      <c r="E43" s="3">
        <v>0.19900000000000001</v>
      </c>
      <c r="F43" s="3">
        <v>0.19</v>
      </c>
      <c r="G43" s="3">
        <v>0.184</v>
      </c>
      <c r="H43" s="3">
        <v>0.14599999999999999</v>
      </c>
      <c r="I43" s="3">
        <v>0.13900000000000001</v>
      </c>
      <c r="J43" s="3">
        <v>0.157</v>
      </c>
      <c r="K43" s="3">
        <v>0.05</v>
      </c>
      <c r="L43" s="3">
        <v>0.05</v>
      </c>
      <c r="M43" s="3">
        <v>4.7E-2</v>
      </c>
      <c r="N43" s="18">
        <v>562</v>
      </c>
    </row>
    <row r="44" spans="1:14" x14ac:dyDescent="0.35">
      <c r="A44" s="2" t="s">
        <v>7</v>
      </c>
      <c r="B44" s="3">
        <v>3.7999999999999999E-2</v>
      </c>
      <c r="C44" s="3">
        <v>3.7999999999999999E-2</v>
      </c>
      <c r="D44" s="3">
        <v>0.04</v>
      </c>
      <c r="E44" s="3">
        <v>8.7999999999999995E-2</v>
      </c>
      <c r="F44" s="3">
        <v>7.5999999999999998E-2</v>
      </c>
      <c r="G44" s="3">
        <v>7.9000000000000001E-2</v>
      </c>
      <c r="H44" s="3">
        <v>7.6999999999999999E-2</v>
      </c>
      <c r="I44" s="3">
        <v>7.5999999999999998E-2</v>
      </c>
      <c r="J44" s="3">
        <v>7.2999999999999995E-2</v>
      </c>
      <c r="K44" s="3">
        <v>4.9000000000000002E-2</v>
      </c>
      <c r="L44" s="3">
        <v>4.9000000000000002E-2</v>
      </c>
      <c r="M44" s="3">
        <v>4.7E-2</v>
      </c>
      <c r="N44" s="18">
        <v>562</v>
      </c>
    </row>
    <row r="45" spans="1:14" x14ac:dyDescent="0.35">
      <c r="A45" s="2" t="s">
        <v>8</v>
      </c>
      <c r="B45" s="3">
        <v>3.6999999999999998E-2</v>
      </c>
      <c r="C45" s="3">
        <v>3.6999999999999998E-2</v>
      </c>
      <c r="D45" s="3">
        <v>0.104</v>
      </c>
      <c r="E45" s="3">
        <v>5.6000000000000001E-2</v>
      </c>
      <c r="F45" s="3">
        <v>5.5E-2</v>
      </c>
      <c r="G45" s="3">
        <v>5.3999999999999999E-2</v>
      </c>
      <c r="H45" s="3">
        <v>8.8999999999999996E-2</v>
      </c>
      <c r="I45" s="3">
        <v>8.8999999999999996E-2</v>
      </c>
      <c r="J45" s="3">
        <v>8.8999999999999996E-2</v>
      </c>
      <c r="K45" s="3">
        <v>4.8000000000000001E-2</v>
      </c>
      <c r="L45" s="3">
        <v>4.7E-2</v>
      </c>
      <c r="M45" s="3">
        <v>5.6000000000000001E-2</v>
      </c>
      <c r="N45" s="18">
        <v>562</v>
      </c>
    </row>
    <row r="48" spans="1:14" x14ac:dyDescent="0.35">
      <c r="A48" s="21" t="s">
        <v>39</v>
      </c>
    </row>
    <row r="50" spans="1:14" x14ac:dyDescent="0.35">
      <c r="A50" s="1" t="s">
        <v>42</v>
      </c>
      <c r="B50" s="2">
        <v>1</v>
      </c>
      <c r="C50" s="2">
        <v>2</v>
      </c>
      <c r="D50" s="2">
        <v>3</v>
      </c>
      <c r="E50" s="2">
        <v>4</v>
      </c>
      <c r="F50" s="2">
        <v>5</v>
      </c>
      <c r="G50" s="2">
        <v>6</v>
      </c>
      <c r="H50" s="2">
        <v>7</v>
      </c>
      <c r="I50" s="2">
        <v>8</v>
      </c>
      <c r="J50" s="2">
        <v>9</v>
      </c>
      <c r="K50" s="2">
        <v>10</v>
      </c>
      <c r="L50" s="2">
        <v>11</v>
      </c>
      <c r="M50" s="2">
        <v>12</v>
      </c>
    </row>
    <row r="51" spans="1:14" x14ac:dyDescent="0.35">
      <c r="A51" s="2" t="s">
        <v>1</v>
      </c>
      <c r="B51" s="3">
        <v>0.17199999999999999</v>
      </c>
      <c r="C51" s="3">
        <v>0.188</v>
      </c>
      <c r="D51" s="3">
        <v>0.182</v>
      </c>
      <c r="E51" s="3">
        <v>6.4000000000000001E-2</v>
      </c>
      <c r="F51" s="3">
        <v>6.2E-2</v>
      </c>
      <c r="G51" s="3">
        <v>6.6000000000000003E-2</v>
      </c>
      <c r="H51" s="3">
        <v>4.9000000000000002E-2</v>
      </c>
      <c r="I51" s="3">
        <v>5.0999999999999997E-2</v>
      </c>
      <c r="J51" s="3">
        <v>4.9000000000000002E-2</v>
      </c>
      <c r="K51" s="3">
        <v>0.05</v>
      </c>
      <c r="L51" s="3">
        <v>5.6000000000000001E-2</v>
      </c>
      <c r="M51" s="3">
        <v>5.0999999999999997E-2</v>
      </c>
      <c r="N51" s="18">
        <v>562</v>
      </c>
    </row>
    <row r="52" spans="1:14" x14ac:dyDescent="0.35">
      <c r="A52" s="2" t="s">
        <v>2</v>
      </c>
      <c r="B52" s="3">
        <v>0.115</v>
      </c>
      <c r="C52" s="3">
        <v>0.121</v>
      </c>
      <c r="D52" s="3">
        <v>0.129</v>
      </c>
      <c r="E52" s="3">
        <v>5.6000000000000001E-2</v>
      </c>
      <c r="F52" s="3">
        <v>4.9000000000000002E-2</v>
      </c>
      <c r="G52" s="3">
        <v>4.7E-2</v>
      </c>
      <c r="H52" s="3">
        <v>6.0999999999999999E-2</v>
      </c>
      <c r="I52" s="3">
        <v>5.8000000000000003E-2</v>
      </c>
      <c r="J52" s="3">
        <v>5.7000000000000002E-2</v>
      </c>
      <c r="K52" s="3">
        <v>4.8000000000000001E-2</v>
      </c>
      <c r="L52" s="3">
        <v>4.7E-2</v>
      </c>
      <c r="M52" s="3">
        <v>5.0999999999999997E-2</v>
      </c>
      <c r="N52" s="18">
        <v>562</v>
      </c>
    </row>
    <row r="53" spans="1:14" x14ac:dyDescent="0.35">
      <c r="A53" s="2" t="s">
        <v>3</v>
      </c>
      <c r="B53" s="3">
        <v>5.2999999999999999E-2</v>
      </c>
      <c r="C53" s="3">
        <v>5.1999999999999998E-2</v>
      </c>
      <c r="D53" s="3">
        <v>5.1999999999999998E-2</v>
      </c>
      <c r="E53" s="3">
        <v>4.7E-2</v>
      </c>
      <c r="F53" s="3">
        <v>5.7000000000000002E-2</v>
      </c>
      <c r="G53" s="3">
        <v>4.9000000000000002E-2</v>
      </c>
      <c r="H53" s="3">
        <v>0.09</v>
      </c>
      <c r="I53" s="3">
        <v>7.8E-2</v>
      </c>
      <c r="J53" s="3">
        <v>7.8E-2</v>
      </c>
      <c r="K53" s="3">
        <v>4.7E-2</v>
      </c>
      <c r="L53" s="3">
        <v>4.8000000000000001E-2</v>
      </c>
      <c r="M53" s="3">
        <v>4.7E-2</v>
      </c>
      <c r="N53" s="18">
        <v>562</v>
      </c>
    </row>
    <row r="54" spans="1:14" x14ac:dyDescent="0.35">
      <c r="A54" s="2" t="s">
        <v>4</v>
      </c>
      <c r="B54" s="3">
        <v>3.9E-2</v>
      </c>
      <c r="C54" s="3">
        <v>0.04</v>
      </c>
      <c r="D54" s="3">
        <v>3.9E-2</v>
      </c>
      <c r="E54" s="3">
        <v>4.8000000000000001E-2</v>
      </c>
      <c r="F54" s="3">
        <v>4.7E-2</v>
      </c>
      <c r="G54" s="3">
        <v>4.9000000000000002E-2</v>
      </c>
      <c r="H54" s="3">
        <v>7.6999999999999999E-2</v>
      </c>
      <c r="I54" s="3">
        <v>7.8E-2</v>
      </c>
      <c r="J54" s="3">
        <v>7.6999999999999999E-2</v>
      </c>
      <c r="K54" s="3">
        <v>4.8000000000000001E-2</v>
      </c>
      <c r="L54" s="3">
        <v>4.9000000000000002E-2</v>
      </c>
      <c r="M54" s="3">
        <v>4.8000000000000001E-2</v>
      </c>
      <c r="N54" s="18">
        <v>562</v>
      </c>
    </row>
    <row r="55" spans="1:14" x14ac:dyDescent="0.35">
      <c r="A55" s="2" t="s">
        <v>5</v>
      </c>
      <c r="B55" s="3">
        <v>0.105</v>
      </c>
      <c r="C55" s="3">
        <v>0.13800000000000001</v>
      </c>
      <c r="D55" s="3">
        <v>0.106</v>
      </c>
      <c r="E55" s="3">
        <v>4.4999999999999998E-2</v>
      </c>
      <c r="F55" s="3">
        <v>4.8000000000000001E-2</v>
      </c>
      <c r="G55" s="3">
        <v>4.4999999999999998E-2</v>
      </c>
      <c r="H55" s="3">
        <v>5.2999999999999999E-2</v>
      </c>
      <c r="I55" s="3">
        <v>5.2999999999999999E-2</v>
      </c>
      <c r="J55" s="3">
        <v>5.2999999999999999E-2</v>
      </c>
      <c r="K55" s="3">
        <v>4.8000000000000001E-2</v>
      </c>
      <c r="L55" s="3">
        <v>4.8000000000000001E-2</v>
      </c>
      <c r="M55" s="3">
        <v>4.9000000000000002E-2</v>
      </c>
      <c r="N55" s="18">
        <v>562</v>
      </c>
    </row>
    <row r="56" spans="1:14" x14ac:dyDescent="0.35">
      <c r="A56" s="2" t="s">
        <v>6</v>
      </c>
      <c r="B56" s="3">
        <v>0.1</v>
      </c>
      <c r="C56" s="3">
        <v>8.1000000000000003E-2</v>
      </c>
      <c r="D56" s="3">
        <v>6.6000000000000003E-2</v>
      </c>
      <c r="E56" s="3">
        <v>4.8000000000000001E-2</v>
      </c>
      <c r="F56" s="3">
        <v>4.8000000000000001E-2</v>
      </c>
      <c r="G56" s="3">
        <v>4.7E-2</v>
      </c>
      <c r="H56" s="3">
        <v>0.19</v>
      </c>
      <c r="I56" s="3">
        <v>0.20699999999999999</v>
      </c>
      <c r="J56" s="3">
        <v>0.216</v>
      </c>
      <c r="K56" s="3">
        <v>0.05</v>
      </c>
      <c r="L56" s="3">
        <v>4.8000000000000001E-2</v>
      </c>
      <c r="M56" s="3">
        <v>4.7E-2</v>
      </c>
      <c r="N56" s="18">
        <v>562</v>
      </c>
    </row>
    <row r="57" spans="1:14" x14ac:dyDescent="0.35">
      <c r="A57" s="2" t="s">
        <v>7</v>
      </c>
      <c r="B57" s="3">
        <v>4.5999999999999999E-2</v>
      </c>
      <c r="C57" s="3">
        <v>5.0999999999999997E-2</v>
      </c>
      <c r="D57" s="3">
        <v>4.8000000000000001E-2</v>
      </c>
      <c r="E57" s="3">
        <v>5.5E-2</v>
      </c>
      <c r="F57" s="3">
        <v>5.5E-2</v>
      </c>
      <c r="G57" s="3">
        <v>5.3999999999999999E-2</v>
      </c>
      <c r="H57" s="3">
        <v>5.0999999999999997E-2</v>
      </c>
      <c r="I57" s="3">
        <v>5.0999999999999997E-2</v>
      </c>
      <c r="J57" s="3">
        <v>5.0999999999999997E-2</v>
      </c>
      <c r="K57" s="3">
        <v>4.8000000000000001E-2</v>
      </c>
      <c r="L57" s="3">
        <v>4.8000000000000001E-2</v>
      </c>
      <c r="M57" s="3">
        <v>4.7E-2</v>
      </c>
      <c r="N57" s="18">
        <v>562</v>
      </c>
    </row>
    <row r="58" spans="1:14" x14ac:dyDescent="0.35">
      <c r="A58" s="2" t="s">
        <v>8</v>
      </c>
      <c r="B58" s="3">
        <v>3.7999999999999999E-2</v>
      </c>
      <c r="C58" s="3">
        <v>3.7999999999999999E-2</v>
      </c>
      <c r="D58" s="3">
        <v>3.7999999999999999E-2</v>
      </c>
      <c r="E58" s="3">
        <v>5.2999999999999999E-2</v>
      </c>
      <c r="F58" s="3">
        <v>5.0999999999999997E-2</v>
      </c>
      <c r="G58" s="3">
        <v>5.2999999999999999E-2</v>
      </c>
      <c r="H58" s="3">
        <v>4.7E-2</v>
      </c>
      <c r="I58" s="3">
        <v>4.8000000000000001E-2</v>
      </c>
      <c r="J58" s="3">
        <v>4.9000000000000002E-2</v>
      </c>
      <c r="K58" s="3">
        <v>4.7E-2</v>
      </c>
      <c r="L58" s="3">
        <v>4.7E-2</v>
      </c>
      <c r="M58" s="3">
        <v>4.8000000000000001E-2</v>
      </c>
      <c r="N58" s="18">
        <v>562</v>
      </c>
    </row>
    <row r="61" spans="1:14" x14ac:dyDescent="0.35">
      <c r="A61" s="21" t="s">
        <v>43</v>
      </c>
    </row>
    <row r="63" spans="1:14" x14ac:dyDescent="0.35">
      <c r="A63" s="1" t="s">
        <v>42</v>
      </c>
      <c r="B63" s="2">
        <v>1</v>
      </c>
      <c r="C63" s="2">
        <v>2</v>
      </c>
      <c r="D63" s="2">
        <v>3</v>
      </c>
      <c r="E63" s="2">
        <v>4</v>
      </c>
      <c r="F63" s="2">
        <v>5</v>
      </c>
      <c r="G63" s="2">
        <v>6</v>
      </c>
      <c r="H63" s="2">
        <v>7</v>
      </c>
      <c r="I63" s="2">
        <v>8</v>
      </c>
      <c r="J63" s="2">
        <v>9</v>
      </c>
      <c r="K63" s="2">
        <v>10</v>
      </c>
      <c r="L63" s="2">
        <v>11</v>
      </c>
      <c r="M63" s="2">
        <v>12</v>
      </c>
    </row>
    <row r="64" spans="1:14" x14ac:dyDescent="0.35">
      <c r="A64" s="2" t="s">
        <v>1</v>
      </c>
      <c r="B64" s="3">
        <v>0.189</v>
      </c>
      <c r="C64" s="3">
        <v>0.184</v>
      </c>
      <c r="D64" s="3">
        <v>0.192</v>
      </c>
      <c r="E64" s="3">
        <v>6.0999999999999999E-2</v>
      </c>
      <c r="F64" s="3">
        <v>5.8000000000000003E-2</v>
      </c>
      <c r="G64" s="3">
        <v>6.0999999999999999E-2</v>
      </c>
      <c r="H64" s="3">
        <v>4.9000000000000002E-2</v>
      </c>
      <c r="I64" s="3">
        <v>4.9000000000000002E-2</v>
      </c>
      <c r="J64" s="3">
        <v>4.8000000000000001E-2</v>
      </c>
      <c r="K64" s="3">
        <v>8.3000000000000004E-2</v>
      </c>
      <c r="L64" s="3">
        <v>8.1000000000000003E-2</v>
      </c>
      <c r="M64" s="3">
        <v>7.9000000000000001E-2</v>
      </c>
      <c r="N64" s="18">
        <v>562</v>
      </c>
    </row>
    <row r="65" spans="1:14" x14ac:dyDescent="0.35">
      <c r="A65" s="2" t="s">
        <v>2</v>
      </c>
      <c r="B65" s="3">
        <v>0.107</v>
      </c>
      <c r="C65" s="3">
        <v>0.13400000000000001</v>
      </c>
      <c r="D65" s="3">
        <v>0.126</v>
      </c>
      <c r="E65" s="3">
        <v>9.4E-2</v>
      </c>
      <c r="F65" s="3">
        <v>9.8000000000000004E-2</v>
      </c>
      <c r="G65" s="3">
        <v>8.8999999999999996E-2</v>
      </c>
      <c r="H65" s="3">
        <v>6.5000000000000002E-2</v>
      </c>
      <c r="I65" s="3">
        <v>6.4000000000000001E-2</v>
      </c>
      <c r="J65" s="3">
        <v>6.3E-2</v>
      </c>
      <c r="K65" s="3">
        <v>4.7E-2</v>
      </c>
      <c r="L65" s="3">
        <v>4.7E-2</v>
      </c>
      <c r="M65" s="3">
        <v>4.7E-2</v>
      </c>
      <c r="N65" s="18">
        <v>562</v>
      </c>
    </row>
    <row r="66" spans="1:14" x14ac:dyDescent="0.35">
      <c r="A66" s="2" t="s">
        <v>3</v>
      </c>
      <c r="B66" s="3">
        <v>5.2999999999999999E-2</v>
      </c>
      <c r="C66" s="3">
        <v>5.1999999999999998E-2</v>
      </c>
      <c r="D66" s="3">
        <v>5.1999999999999998E-2</v>
      </c>
      <c r="E66" s="3">
        <v>0.156</v>
      </c>
      <c r="F66" s="3">
        <v>0.151</v>
      </c>
      <c r="G66" s="3">
        <v>0.14699999999999999</v>
      </c>
      <c r="H66" s="3">
        <v>0.106</v>
      </c>
      <c r="I66" s="3">
        <v>0.104</v>
      </c>
      <c r="J66" s="3">
        <v>0.105</v>
      </c>
      <c r="K66" s="3">
        <v>4.8000000000000001E-2</v>
      </c>
      <c r="L66" s="3">
        <v>0.05</v>
      </c>
      <c r="M66" s="3">
        <v>4.7E-2</v>
      </c>
      <c r="N66" s="18">
        <v>562</v>
      </c>
    </row>
    <row r="67" spans="1:14" x14ac:dyDescent="0.35">
      <c r="A67" s="2" t="s">
        <v>4</v>
      </c>
      <c r="B67" s="3">
        <v>3.9E-2</v>
      </c>
      <c r="C67" s="3">
        <v>0.04</v>
      </c>
      <c r="D67" s="3">
        <v>3.9E-2</v>
      </c>
      <c r="E67" s="3">
        <v>6.9000000000000006E-2</v>
      </c>
      <c r="F67" s="3">
        <v>7.9000000000000001E-2</v>
      </c>
      <c r="G67" s="3">
        <v>6.6000000000000003E-2</v>
      </c>
      <c r="H67" s="3">
        <v>0.108</v>
      </c>
      <c r="I67" s="3">
        <v>0.107</v>
      </c>
      <c r="J67" s="3">
        <v>0.10100000000000001</v>
      </c>
      <c r="K67" s="3">
        <v>4.7E-2</v>
      </c>
      <c r="L67" s="3">
        <v>4.8000000000000001E-2</v>
      </c>
      <c r="M67" s="3">
        <v>4.7E-2</v>
      </c>
      <c r="N67" s="18">
        <v>562</v>
      </c>
    </row>
    <row r="68" spans="1:14" x14ac:dyDescent="0.35">
      <c r="A68" s="2" t="s">
        <v>5</v>
      </c>
      <c r="B68" s="3">
        <v>0.12</v>
      </c>
      <c r="C68" s="3">
        <v>0.129</v>
      </c>
      <c r="D68" s="3">
        <v>0.125</v>
      </c>
      <c r="E68" s="3">
        <v>0.18099999999999999</v>
      </c>
      <c r="F68" s="3">
        <v>0.19800000000000001</v>
      </c>
      <c r="G68" s="3">
        <v>0.17699999999999999</v>
      </c>
      <c r="H68" s="3">
        <v>7.3999999999999996E-2</v>
      </c>
      <c r="I68" s="3">
        <v>7.1999999999999995E-2</v>
      </c>
      <c r="J68" s="3">
        <v>7.1999999999999995E-2</v>
      </c>
      <c r="K68" s="3">
        <v>4.7E-2</v>
      </c>
      <c r="L68" s="3">
        <v>4.8000000000000001E-2</v>
      </c>
      <c r="M68" s="3">
        <v>4.7E-2</v>
      </c>
      <c r="N68" s="18">
        <v>562</v>
      </c>
    </row>
    <row r="69" spans="1:14" x14ac:dyDescent="0.35">
      <c r="A69" s="2" t="s">
        <v>6</v>
      </c>
      <c r="B69" s="3">
        <v>0.09</v>
      </c>
      <c r="C69" s="3">
        <v>8.2000000000000003E-2</v>
      </c>
      <c r="D69" s="3">
        <v>5.8999999999999997E-2</v>
      </c>
      <c r="E69" s="3">
        <v>0.215</v>
      </c>
      <c r="F69" s="3">
        <v>0.20799999999999999</v>
      </c>
      <c r="G69" s="3">
        <v>0.2</v>
      </c>
      <c r="H69" s="3">
        <v>0.217</v>
      </c>
      <c r="I69" s="3">
        <v>0.21099999999999999</v>
      </c>
      <c r="J69" s="3">
        <v>0.23200000000000001</v>
      </c>
      <c r="K69" s="3">
        <v>0.05</v>
      </c>
      <c r="L69" s="3">
        <v>4.9000000000000002E-2</v>
      </c>
      <c r="M69" s="3">
        <v>4.7E-2</v>
      </c>
      <c r="N69" s="18">
        <v>562</v>
      </c>
    </row>
    <row r="70" spans="1:14" x14ac:dyDescent="0.35">
      <c r="A70" s="2" t="s">
        <v>7</v>
      </c>
      <c r="B70" s="3">
        <v>4.4999999999999998E-2</v>
      </c>
      <c r="C70" s="3">
        <v>5.2999999999999999E-2</v>
      </c>
      <c r="D70" s="3">
        <v>4.5999999999999999E-2</v>
      </c>
      <c r="E70" s="3">
        <v>0.104</v>
      </c>
      <c r="F70" s="3">
        <v>7.2999999999999995E-2</v>
      </c>
      <c r="G70" s="3">
        <v>7.9000000000000001E-2</v>
      </c>
      <c r="H70" s="3">
        <v>7.4999999999999997E-2</v>
      </c>
      <c r="I70" s="3">
        <v>7.8E-2</v>
      </c>
      <c r="J70" s="3">
        <v>7.1999999999999995E-2</v>
      </c>
      <c r="K70" s="3">
        <v>4.9000000000000002E-2</v>
      </c>
      <c r="L70" s="3">
        <v>4.9000000000000002E-2</v>
      </c>
      <c r="M70" s="3">
        <v>4.7E-2</v>
      </c>
      <c r="N70" s="18">
        <v>562</v>
      </c>
    </row>
    <row r="71" spans="1:14" x14ac:dyDescent="0.35">
      <c r="A71" s="2" t="s">
        <v>8</v>
      </c>
      <c r="B71" s="3">
        <v>3.7999999999999999E-2</v>
      </c>
      <c r="C71" s="3">
        <v>3.9E-2</v>
      </c>
      <c r="D71" s="3">
        <v>0.104</v>
      </c>
      <c r="E71" s="3">
        <v>5.8999999999999997E-2</v>
      </c>
      <c r="F71" s="3">
        <v>5.6000000000000001E-2</v>
      </c>
      <c r="G71" s="3">
        <v>5.5E-2</v>
      </c>
      <c r="H71" s="3">
        <v>9.0999999999999998E-2</v>
      </c>
      <c r="I71" s="3">
        <v>8.7999999999999995E-2</v>
      </c>
      <c r="J71" s="3">
        <v>8.7999999999999995E-2</v>
      </c>
      <c r="K71" s="3">
        <v>4.8000000000000001E-2</v>
      </c>
      <c r="L71" s="3">
        <v>4.7E-2</v>
      </c>
      <c r="M71" s="3">
        <v>4.7E-2</v>
      </c>
      <c r="N71" s="18">
        <v>562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63F6-0226-449F-9102-3C6079D9286A}">
  <sheetPr codeName="Sheet4"/>
  <dimension ref="A1:M49"/>
  <sheetViews>
    <sheetView tabSelected="1" topLeftCell="A24" workbookViewId="0">
      <selection activeCell="G46" sqref="G46"/>
    </sheetView>
  </sheetViews>
  <sheetFormatPr defaultRowHeight="14.5" x14ac:dyDescent="0.35"/>
  <cols>
    <col min="1" max="1" width="12.26953125" customWidth="1"/>
    <col min="2" max="2" width="12.54296875" customWidth="1"/>
    <col min="3" max="3" width="11.26953125" customWidth="1"/>
    <col min="4" max="4" width="12.1796875" customWidth="1"/>
    <col min="5" max="5" width="15.81640625" customWidth="1"/>
    <col min="6" max="6" width="14" customWidth="1"/>
    <col min="7" max="7" width="14.453125" customWidth="1"/>
    <col min="8" max="8" width="13.54296875" customWidth="1"/>
    <col min="9" max="9" width="11.54296875" customWidth="1"/>
    <col min="10" max="10" width="12.81640625" customWidth="1"/>
    <col min="11" max="11" width="13.26953125" customWidth="1"/>
    <col min="12" max="12" width="14.54296875" customWidth="1"/>
    <col min="13" max="13" width="12.7265625" customWidth="1"/>
  </cols>
  <sheetData>
    <row r="1" spans="1:13" ht="15" thickBot="1" x14ac:dyDescent="0.4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ht="15" thickBot="1" x14ac:dyDescent="0.4">
      <c r="A2" s="2" t="s">
        <v>1</v>
      </c>
      <c r="B2" s="25">
        <v>3.9E-2</v>
      </c>
      <c r="C2" s="26">
        <v>3.6999999999999998E-2</v>
      </c>
      <c r="D2" s="26">
        <v>3.6999999999999998E-2</v>
      </c>
      <c r="E2" s="26">
        <v>0.22600000000000001</v>
      </c>
      <c r="F2" s="26">
        <v>0.253</v>
      </c>
      <c r="G2" s="26">
        <v>0.245</v>
      </c>
      <c r="H2" s="26">
        <v>0.04</v>
      </c>
      <c r="I2" s="26">
        <v>0.04</v>
      </c>
      <c r="J2" s="26">
        <v>3.9E-2</v>
      </c>
      <c r="K2" s="26">
        <v>3.9E-2</v>
      </c>
      <c r="L2" s="26">
        <v>3.9E-2</v>
      </c>
      <c r="M2" s="26">
        <v>4.1000000000000002E-2</v>
      </c>
    </row>
    <row r="3" spans="1:13" ht="15" thickBot="1" x14ac:dyDescent="0.4">
      <c r="A3" s="2" t="s">
        <v>2</v>
      </c>
      <c r="B3" s="27">
        <v>3.5999999999999997E-2</v>
      </c>
      <c r="C3" s="28">
        <v>3.6999999999999998E-2</v>
      </c>
      <c r="D3" s="28">
        <v>3.5999999999999997E-2</v>
      </c>
      <c r="E3" s="28">
        <v>0.48699999999999999</v>
      </c>
      <c r="F3" s="28">
        <v>0.51</v>
      </c>
      <c r="G3" s="28">
        <v>0.499</v>
      </c>
      <c r="H3" s="28">
        <v>3.9E-2</v>
      </c>
      <c r="I3" s="28">
        <v>3.9E-2</v>
      </c>
      <c r="J3" s="28">
        <v>3.9E-2</v>
      </c>
      <c r="K3" s="28">
        <v>4.1000000000000002E-2</v>
      </c>
      <c r="L3" s="28">
        <v>4.2999999999999997E-2</v>
      </c>
      <c r="M3" s="28">
        <v>4.1000000000000002E-2</v>
      </c>
    </row>
    <row r="4" spans="1:13" ht="15" thickBot="1" x14ac:dyDescent="0.4">
      <c r="A4" s="2" t="s">
        <v>3</v>
      </c>
      <c r="B4" s="27">
        <v>3.6999999999999998E-2</v>
      </c>
      <c r="C4" s="28">
        <v>3.6999999999999998E-2</v>
      </c>
      <c r="D4" s="28">
        <v>3.6999999999999998E-2</v>
      </c>
      <c r="E4" s="28" t="s">
        <v>76</v>
      </c>
      <c r="F4" s="28">
        <v>0.871</v>
      </c>
      <c r="G4" s="28">
        <v>0.86299999999999999</v>
      </c>
      <c r="H4" s="28">
        <v>3.7999999999999999E-2</v>
      </c>
      <c r="I4" s="28">
        <v>3.7999999999999999E-2</v>
      </c>
      <c r="J4" s="28">
        <v>3.7999999999999999E-2</v>
      </c>
      <c r="K4" s="28">
        <v>4.2000000000000003E-2</v>
      </c>
      <c r="L4" s="28">
        <v>4.3999999999999997E-2</v>
      </c>
      <c r="M4" s="28">
        <v>4.3999999999999997E-2</v>
      </c>
    </row>
    <row r="5" spans="1:13" ht="15" thickBot="1" x14ac:dyDescent="0.4">
      <c r="A5" s="2" t="s">
        <v>4</v>
      </c>
      <c r="B5" s="27">
        <v>3.9E-2</v>
      </c>
      <c r="C5" s="28">
        <v>3.5999999999999997E-2</v>
      </c>
      <c r="D5" s="28">
        <v>3.5999999999999997E-2</v>
      </c>
      <c r="E5" s="28">
        <v>0.17399999999999999</v>
      </c>
      <c r="F5" s="28">
        <v>0.154</v>
      </c>
      <c r="G5" s="28">
        <v>0.154</v>
      </c>
      <c r="H5" s="28">
        <v>3.7999999999999999E-2</v>
      </c>
      <c r="I5" s="28">
        <v>3.7999999999999999E-2</v>
      </c>
      <c r="J5" s="28">
        <v>3.7999999999999999E-2</v>
      </c>
      <c r="K5" s="28">
        <v>5.6000000000000001E-2</v>
      </c>
      <c r="L5" s="28">
        <v>5.8999999999999997E-2</v>
      </c>
      <c r="M5" s="28">
        <v>5.7000000000000002E-2</v>
      </c>
    </row>
    <row r="6" spans="1:13" ht="15" thickBot="1" x14ac:dyDescent="0.4">
      <c r="A6" s="2" t="s">
        <v>5</v>
      </c>
      <c r="B6" s="27">
        <v>3.7999999999999999E-2</v>
      </c>
      <c r="C6" s="28">
        <v>3.5999999999999997E-2</v>
      </c>
      <c r="D6" s="28">
        <v>3.6999999999999998E-2</v>
      </c>
      <c r="E6" s="28">
        <v>0.123</v>
      </c>
      <c r="F6" s="28">
        <v>0.13100000000000001</v>
      </c>
      <c r="G6" s="28">
        <v>0.121</v>
      </c>
      <c r="H6" s="28">
        <v>3.6999999999999998E-2</v>
      </c>
      <c r="I6" s="28">
        <v>3.6999999999999998E-2</v>
      </c>
      <c r="J6" s="28">
        <v>3.6999999999999998E-2</v>
      </c>
      <c r="K6" s="28">
        <v>4.7E-2</v>
      </c>
      <c r="L6" s="28">
        <v>4.7E-2</v>
      </c>
      <c r="M6" s="28">
        <v>4.8000000000000001E-2</v>
      </c>
    </row>
    <row r="7" spans="1:13" ht="15" thickBot="1" x14ac:dyDescent="0.4">
      <c r="A7" s="2" t="s">
        <v>6</v>
      </c>
      <c r="B7" s="27">
        <v>4.9000000000000002E-2</v>
      </c>
      <c r="C7" s="28">
        <v>5.6000000000000001E-2</v>
      </c>
      <c r="D7" s="28">
        <v>0.05</v>
      </c>
      <c r="E7" s="28">
        <v>9.5000000000000001E-2</v>
      </c>
      <c r="F7" s="28">
        <v>0.105</v>
      </c>
      <c r="G7" s="28">
        <v>9.1999999999999998E-2</v>
      </c>
      <c r="H7" s="28">
        <v>3.6999999999999998E-2</v>
      </c>
      <c r="I7" s="28">
        <v>3.7999999999999999E-2</v>
      </c>
      <c r="J7" s="28">
        <v>3.7999999999999999E-2</v>
      </c>
      <c r="K7" s="28">
        <v>4.7E-2</v>
      </c>
      <c r="L7" s="28">
        <v>4.7E-2</v>
      </c>
      <c r="M7" s="28">
        <v>4.7E-2</v>
      </c>
    </row>
    <row r="8" spans="1:13" ht="15" thickBot="1" x14ac:dyDescent="0.4">
      <c r="A8" s="2" t="s">
        <v>7</v>
      </c>
      <c r="B8" s="27">
        <v>4.2999999999999997E-2</v>
      </c>
      <c r="C8" s="28">
        <v>4.2000000000000003E-2</v>
      </c>
      <c r="D8" s="28">
        <v>4.3999999999999997E-2</v>
      </c>
      <c r="E8" s="28">
        <v>7.0999999999999994E-2</v>
      </c>
      <c r="F8" s="28">
        <v>7.2999999999999995E-2</v>
      </c>
      <c r="G8" s="28">
        <v>7.3999999999999996E-2</v>
      </c>
      <c r="H8" s="28">
        <v>3.6999999999999998E-2</v>
      </c>
      <c r="I8" s="28">
        <v>3.6999999999999998E-2</v>
      </c>
      <c r="J8" s="28">
        <v>3.6999999999999998E-2</v>
      </c>
      <c r="K8" s="28">
        <v>4.7E-2</v>
      </c>
      <c r="L8" s="28">
        <v>4.7E-2</v>
      </c>
      <c r="M8" s="28">
        <v>4.7E-2</v>
      </c>
    </row>
    <row r="9" spans="1:13" ht="15" thickBot="1" x14ac:dyDescent="0.4">
      <c r="A9" s="2" t="s">
        <v>8</v>
      </c>
      <c r="B9" s="27">
        <v>3.7999999999999999E-2</v>
      </c>
      <c r="C9" s="28">
        <v>3.9E-2</v>
      </c>
      <c r="D9" s="28">
        <v>3.7999999999999999E-2</v>
      </c>
      <c r="E9" s="28">
        <v>3.9E-2</v>
      </c>
      <c r="F9" s="28">
        <v>3.6999999999999998E-2</v>
      </c>
      <c r="G9" s="28">
        <v>3.6999999999999998E-2</v>
      </c>
      <c r="H9" s="28">
        <v>3.9E-2</v>
      </c>
      <c r="I9" s="28">
        <v>3.6999999999999998E-2</v>
      </c>
      <c r="J9" s="28">
        <v>3.9E-2</v>
      </c>
      <c r="K9" s="28">
        <v>3.7999999999999999E-2</v>
      </c>
      <c r="L9" s="28">
        <v>3.7999999999999999E-2</v>
      </c>
      <c r="M9" s="28">
        <v>3.7999999999999999E-2</v>
      </c>
    </row>
    <row r="11" spans="1:13" ht="15" thickBot="1" x14ac:dyDescent="0.4">
      <c r="A11" s="1" t="s">
        <v>9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3" ht="15" thickBot="1" x14ac:dyDescent="0.4">
      <c r="A12" s="2" t="s">
        <v>1</v>
      </c>
      <c r="B12" s="25">
        <v>5.8999999999999997E-2</v>
      </c>
      <c r="C12" s="26">
        <v>3.7999999999999999E-2</v>
      </c>
      <c r="D12" s="26">
        <v>3.6999999999999998E-2</v>
      </c>
      <c r="E12" s="26">
        <v>0.39900000000000002</v>
      </c>
      <c r="F12" s="26">
        <v>0.42099999999999999</v>
      </c>
      <c r="G12" s="26">
        <v>0.47199999999999998</v>
      </c>
      <c r="H12" s="26">
        <v>0.16300000000000001</v>
      </c>
      <c r="I12" s="26">
        <v>0.16400000000000001</v>
      </c>
      <c r="J12" s="26">
        <v>0.183</v>
      </c>
      <c r="K12" s="26">
        <v>0.219</v>
      </c>
      <c r="L12" s="26">
        <v>0.26200000000000001</v>
      </c>
      <c r="M12" s="26">
        <v>0.22900000000000001</v>
      </c>
    </row>
    <row r="13" spans="1:13" ht="15" thickBot="1" x14ac:dyDescent="0.4">
      <c r="A13" s="2" t="s">
        <v>2</v>
      </c>
      <c r="B13" s="27">
        <v>3.5999999999999997E-2</v>
      </c>
      <c r="C13" s="28">
        <v>3.6999999999999998E-2</v>
      </c>
      <c r="D13" s="28">
        <v>3.6999999999999998E-2</v>
      </c>
      <c r="E13" s="28">
        <v>0.65200000000000002</v>
      </c>
      <c r="F13" s="28">
        <v>0.747</v>
      </c>
      <c r="G13" s="28">
        <v>0.68</v>
      </c>
      <c r="H13" s="28">
        <v>0.13600000000000001</v>
      </c>
      <c r="I13" s="28">
        <v>0.16400000000000001</v>
      </c>
      <c r="J13" s="28">
        <v>0.125</v>
      </c>
      <c r="K13" s="28" t="s">
        <v>76</v>
      </c>
      <c r="L13" s="28">
        <v>0.30499999999999999</v>
      </c>
      <c r="M13" s="28">
        <v>0.29399999999999998</v>
      </c>
    </row>
    <row r="14" spans="1:13" ht="15" thickBot="1" x14ac:dyDescent="0.4">
      <c r="A14" s="2" t="s">
        <v>3</v>
      </c>
      <c r="B14" s="27">
        <v>3.6999999999999998E-2</v>
      </c>
      <c r="C14" s="28">
        <v>3.6999999999999998E-2</v>
      </c>
      <c r="D14" s="28">
        <v>3.5999999999999997E-2</v>
      </c>
      <c r="E14" s="28">
        <v>0.91</v>
      </c>
      <c r="F14" s="28">
        <v>0.96299999999999997</v>
      </c>
      <c r="G14" s="28">
        <v>0.96599999999999997</v>
      </c>
      <c r="H14" s="28">
        <v>0.10299999999999999</v>
      </c>
      <c r="I14" s="28">
        <v>0.113</v>
      </c>
      <c r="J14" s="28" t="s">
        <v>76</v>
      </c>
      <c r="K14" s="28">
        <v>0.35099999999999998</v>
      </c>
      <c r="L14" s="28">
        <v>0.36499999999999999</v>
      </c>
      <c r="M14" s="28">
        <v>0.36299999999999999</v>
      </c>
    </row>
    <row r="15" spans="1:13" ht="15" thickBot="1" x14ac:dyDescent="0.4">
      <c r="A15" s="2" t="s">
        <v>4</v>
      </c>
      <c r="B15" s="27">
        <v>3.9E-2</v>
      </c>
      <c r="C15" s="28">
        <v>3.6999999999999998E-2</v>
      </c>
      <c r="D15" s="28">
        <v>3.5999999999999997E-2</v>
      </c>
      <c r="E15" s="28">
        <v>0.28899999999999998</v>
      </c>
      <c r="F15" s="28">
        <v>0.27</v>
      </c>
      <c r="G15" s="28">
        <v>0.27100000000000002</v>
      </c>
      <c r="H15" s="28">
        <v>7.5999999999999998E-2</v>
      </c>
      <c r="I15" s="28">
        <v>8.7999999999999995E-2</v>
      </c>
      <c r="J15" s="28">
        <v>8.2000000000000003E-2</v>
      </c>
      <c r="K15" s="28">
        <v>7.2999999999999995E-2</v>
      </c>
      <c r="L15" s="28">
        <v>0.08</v>
      </c>
      <c r="M15" s="28">
        <v>7.3999999999999996E-2</v>
      </c>
    </row>
    <row r="16" spans="1:13" ht="15" thickBot="1" x14ac:dyDescent="0.4">
      <c r="A16" s="2" t="s">
        <v>5</v>
      </c>
      <c r="B16" s="27">
        <v>3.7999999999999999E-2</v>
      </c>
      <c r="C16" s="28">
        <v>3.5999999999999997E-2</v>
      </c>
      <c r="D16" s="28">
        <v>3.6999999999999998E-2</v>
      </c>
      <c r="E16" s="28">
        <v>0.20499999999999999</v>
      </c>
      <c r="F16" s="28">
        <v>0.224</v>
      </c>
      <c r="G16" s="28">
        <v>0.19600000000000001</v>
      </c>
      <c r="H16" s="28">
        <v>5.7000000000000002E-2</v>
      </c>
      <c r="I16" s="28">
        <v>5.3999999999999999E-2</v>
      </c>
      <c r="J16" s="28" t="s">
        <v>76</v>
      </c>
      <c r="K16" s="28">
        <v>0.05</v>
      </c>
      <c r="L16" s="28">
        <v>4.7E-2</v>
      </c>
      <c r="M16" s="28">
        <v>4.8000000000000001E-2</v>
      </c>
    </row>
    <row r="17" spans="1:13" ht="15" thickBot="1" x14ac:dyDescent="0.4">
      <c r="A17" s="2" t="s">
        <v>6</v>
      </c>
      <c r="B17" s="27">
        <v>6.3E-2</v>
      </c>
      <c r="C17" s="28">
        <v>7.4999999999999997E-2</v>
      </c>
      <c r="D17" s="28">
        <v>6.0999999999999999E-2</v>
      </c>
      <c r="E17" s="28">
        <v>0.157</v>
      </c>
      <c r="F17" s="28">
        <v>0.156</v>
      </c>
      <c r="G17" s="28">
        <v>0.16600000000000001</v>
      </c>
      <c r="H17" s="28">
        <v>4.7E-2</v>
      </c>
      <c r="I17" s="28">
        <v>5.1999999999999998E-2</v>
      </c>
      <c r="J17" s="28">
        <v>5.0999999999999997E-2</v>
      </c>
      <c r="K17" s="28">
        <v>4.7E-2</v>
      </c>
      <c r="L17" s="28">
        <v>4.7E-2</v>
      </c>
      <c r="M17" s="28">
        <v>4.7E-2</v>
      </c>
    </row>
    <row r="18" spans="1:13" ht="15" thickBot="1" x14ac:dyDescent="0.4">
      <c r="A18" s="2" t="s">
        <v>7</v>
      </c>
      <c r="B18" s="27">
        <v>0.05</v>
      </c>
      <c r="C18" s="28">
        <v>5.0999999999999997E-2</v>
      </c>
      <c r="D18" s="28">
        <v>5.5E-2</v>
      </c>
      <c r="E18" s="28">
        <v>0.10299999999999999</v>
      </c>
      <c r="F18" s="28">
        <v>0.11700000000000001</v>
      </c>
      <c r="G18" s="28">
        <v>0.12</v>
      </c>
      <c r="H18" s="28">
        <v>4.4999999999999998E-2</v>
      </c>
      <c r="I18" s="28">
        <v>4.2000000000000003E-2</v>
      </c>
      <c r="J18" s="28">
        <v>4.3999999999999997E-2</v>
      </c>
      <c r="K18" s="28">
        <v>4.7E-2</v>
      </c>
      <c r="L18" s="28">
        <v>4.9000000000000002E-2</v>
      </c>
      <c r="M18" s="28">
        <v>4.7E-2</v>
      </c>
    </row>
    <row r="19" spans="1:13" ht="15" thickBot="1" x14ac:dyDescent="0.4">
      <c r="A19" s="2" t="s">
        <v>8</v>
      </c>
      <c r="B19" s="27">
        <v>4.1000000000000002E-2</v>
      </c>
      <c r="C19" s="28">
        <v>0.04</v>
      </c>
      <c r="D19" s="28">
        <v>0.04</v>
      </c>
      <c r="E19" s="28">
        <v>3.9E-2</v>
      </c>
      <c r="F19" s="28">
        <v>0.04</v>
      </c>
      <c r="G19" s="28">
        <v>3.7999999999999999E-2</v>
      </c>
      <c r="H19" s="28" t="s">
        <v>76</v>
      </c>
      <c r="I19" s="28">
        <v>3.9E-2</v>
      </c>
      <c r="J19" s="28">
        <v>0.04</v>
      </c>
      <c r="K19" s="28">
        <v>3.7999999999999999E-2</v>
      </c>
      <c r="L19" s="28">
        <v>0.04</v>
      </c>
      <c r="M19" s="28">
        <v>4.1000000000000002E-2</v>
      </c>
    </row>
    <row r="21" spans="1:13" x14ac:dyDescent="0.35">
      <c r="A21" s="4" t="s">
        <v>10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35">
      <c r="A22" s="5" t="s">
        <v>1</v>
      </c>
      <c r="B22" s="6" t="s">
        <v>76</v>
      </c>
      <c r="C22" s="6" t="s">
        <v>76</v>
      </c>
      <c r="D22" s="6" t="s">
        <v>76</v>
      </c>
      <c r="E22" s="7" t="s">
        <v>85</v>
      </c>
      <c r="F22" s="7" t="s">
        <v>85</v>
      </c>
      <c r="G22" s="7" t="s">
        <v>85</v>
      </c>
      <c r="H22" s="7" t="s">
        <v>89</v>
      </c>
      <c r="I22" s="7" t="s">
        <v>89</v>
      </c>
      <c r="J22" s="7" t="s">
        <v>89</v>
      </c>
      <c r="K22" s="7" t="s">
        <v>97</v>
      </c>
      <c r="L22" s="7" t="s">
        <v>97</v>
      </c>
      <c r="M22" s="7" t="s">
        <v>97</v>
      </c>
    </row>
    <row r="23" spans="1:13" x14ac:dyDescent="0.35">
      <c r="A23" s="5" t="s">
        <v>2</v>
      </c>
      <c r="B23" s="8" t="s">
        <v>76</v>
      </c>
      <c r="C23" s="9" t="s">
        <v>76</v>
      </c>
      <c r="D23" s="9" t="s">
        <v>76</v>
      </c>
      <c r="E23" s="7" t="s">
        <v>86</v>
      </c>
      <c r="F23" s="7" t="s">
        <v>86</v>
      </c>
      <c r="G23" s="7" t="s">
        <v>86</v>
      </c>
      <c r="H23" s="10" t="s">
        <v>90</v>
      </c>
      <c r="I23" s="11" t="s">
        <v>90</v>
      </c>
      <c r="J23" t="s">
        <v>90</v>
      </c>
      <c r="K23" s="7" t="s">
        <v>98</v>
      </c>
      <c r="L23" s="7" t="s">
        <v>98</v>
      </c>
      <c r="M23" s="7" t="s">
        <v>98</v>
      </c>
    </row>
    <row r="24" spans="1:13" x14ac:dyDescent="0.35">
      <c r="A24" s="5" t="s">
        <v>3</v>
      </c>
      <c r="B24" s="6" t="s">
        <v>76</v>
      </c>
      <c r="C24" s="6" t="s">
        <v>76</v>
      </c>
      <c r="D24" s="6" t="s">
        <v>76</v>
      </c>
      <c r="E24" s="7" t="s">
        <v>87</v>
      </c>
      <c r="F24" s="7" t="s">
        <v>87</v>
      </c>
      <c r="G24" s="7" t="s">
        <v>87</v>
      </c>
      <c r="H24" s="7" t="s">
        <v>91</v>
      </c>
      <c r="I24" s="7" t="s">
        <v>91</v>
      </c>
      <c r="J24" s="7" t="s">
        <v>91</v>
      </c>
      <c r="K24" s="7" t="s">
        <v>99</v>
      </c>
      <c r="L24" s="7" t="s">
        <v>99</v>
      </c>
      <c r="M24" s="7" t="s">
        <v>99</v>
      </c>
    </row>
    <row r="25" spans="1:13" x14ac:dyDescent="0.35">
      <c r="A25" s="5" t="s">
        <v>4</v>
      </c>
      <c r="B25" s="6" t="s">
        <v>76</v>
      </c>
      <c r="C25" s="6" t="s">
        <v>76</v>
      </c>
      <c r="D25" s="6" t="s">
        <v>76</v>
      </c>
      <c r="E25" s="7" t="s">
        <v>77</v>
      </c>
      <c r="F25" s="7" t="s">
        <v>77</v>
      </c>
      <c r="G25" s="7" t="s">
        <v>77</v>
      </c>
      <c r="H25" s="7" t="s">
        <v>92</v>
      </c>
      <c r="I25" s="7" t="s">
        <v>92</v>
      </c>
      <c r="J25" s="7" t="s">
        <v>92</v>
      </c>
      <c r="K25" s="7" t="s">
        <v>81</v>
      </c>
      <c r="L25" s="7" t="s">
        <v>81</v>
      </c>
      <c r="M25" s="7" t="s">
        <v>81</v>
      </c>
    </row>
    <row r="26" spans="1:13" x14ac:dyDescent="0.35">
      <c r="A26" s="5" t="s">
        <v>5</v>
      </c>
      <c r="B26" s="6" t="s">
        <v>76</v>
      </c>
      <c r="C26" s="6" t="s">
        <v>76</v>
      </c>
      <c r="D26" s="6" t="s">
        <v>76</v>
      </c>
      <c r="E26" s="7" t="s">
        <v>78</v>
      </c>
      <c r="F26" s="7" t="s">
        <v>78</v>
      </c>
      <c r="G26" s="7" t="s">
        <v>78</v>
      </c>
      <c r="H26" s="7" t="s">
        <v>93</v>
      </c>
      <c r="I26" s="7" t="s">
        <v>93</v>
      </c>
      <c r="J26" s="7" t="s">
        <v>93</v>
      </c>
      <c r="K26" s="7" t="s">
        <v>76</v>
      </c>
      <c r="L26" s="7" t="s">
        <v>76</v>
      </c>
      <c r="M26" s="7" t="s">
        <v>76</v>
      </c>
    </row>
    <row r="27" spans="1:13" x14ac:dyDescent="0.35">
      <c r="A27" s="5" t="s">
        <v>6</v>
      </c>
      <c r="B27" s="6" t="s">
        <v>82</v>
      </c>
      <c r="C27" s="6" t="s">
        <v>82</v>
      </c>
      <c r="D27" s="6" t="s">
        <v>82</v>
      </c>
      <c r="E27" s="7" t="s">
        <v>79</v>
      </c>
      <c r="F27" s="7" t="s">
        <v>79</v>
      </c>
      <c r="G27" s="7" t="s">
        <v>79</v>
      </c>
      <c r="H27" s="7" t="s">
        <v>94</v>
      </c>
      <c r="I27" s="7" t="s">
        <v>94</v>
      </c>
      <c r="J27" s="7" t="s">
        <v>94</v>
      </c>
      <c r="K27" s="7" t="s">
        <v>76</v>
      </c>
      <c r="L27" s="7" t="s">
        <v>76</v>
      </c>
      <c r="M27" s="7" t="s">
        <v>76</v>
      </c>
    </row>
    <row r="28" spans="1:13" x14ac:dyDescent="0.35">
      <c r="A28" s="5" t="s">
        <v>7</v>
      </c>
      <c r="B28" s="6" t="s">
        <v>83</v>
      </c>
      <c r="C28" s="6" t="s">
        <v>83</v>
      </c>
      <c r="D28" s="6" t="s">
        <v>83</v>
      </c>
      <c r="E28" s="6" t="s">
        <v>80</v>
      </c>
      <c r="F28" s="6" t="s">
        <v>80</v>
      </c>
      <c r="G28" s="6" t="s">
        <v>80</v>
      </c>
      <c r="H28" s="7" t="s">
        <v>95</v>
      </c>
      <c r="I28" s="7" t="s">
        <v>95</v>
      </c>
      <c r="J28" s="7" t="s">
        <v>95</v>
      </c>
      <c r="K28" s="7" t="s">
        <v>76</v>
      </c>
      <c r="L28" s="7" t="s">
        <v>76</v>
      </c>
      <c r="M28" s="7" t="s">
        <v>76</v>
      </c>
    </row>
    <row r="29" spans="1:13" ht="25" x14ac:dyDescent="0.35">
      <c r="A29" s="5" t="s">
        <v>8</v>
      </c>
      <c r="B29" s="23" t="s">
        <v>84</v>
      </c>
      <c r="C29" s="23" t="s">
        <v>84</v>
      </c>
      <c r="D29" s="23" t="s">
        <v>84</v>
      </c>
      <c r="E29" s="7" t="s">
        <v>88</v>
      </c>
      <c r="F29" s="7" t="s">
        <v>88</v>
      </c>
      <c r="G29" s="7" t="s">
        <v>88</v>
      </c>
      <c r="H29" s="7" t="s">
        <v>96</v>
      </c>
      <c r="I29" s="7" t="s">
        <v>96</v>
      </c>
      <c r="J29" s="7" t="s">
        <v>96</v>
      </c>
      <c r="K29" s="7" t="s">
        <v>88</v>
      </c>
      <c r="L29" s="7" t="s">
        <v>88</v>
      </c>
      <c r="M29" s="7" t="s">
        <v>88</v>
      </c>
    </row>
    <row r="31" spans="1:13" x14ac:dyDescent="0.35">
      <c r="A31" s="4" t="s">
        <v>11</v>
      </c>
      <c r="B31" s="5">
        <v>1</v>
      </c>
      <c r="C31" s="5">
        <v>2</v>
      </c>
      <c r="D31" s="5">
        <v>3</v>
      </c>
      <c r="E31" s="5">
        <v>4</v>
      </c>
      <c r="F31" s="5">
        <v>5</v>
      </c>
      <c r="G31" s="5">
        <v>6</v>
      </c>
      <c r="H31" s="5">
        <v>7</v>
      </c>
      <c r="I31" s="5">
        <v>8</v>
      </c>
      <c r="J31" s="5">
        <v>9</v>
      </c>
      <c r="K31" s="5">
        <v>10</v>
      </c>
      <c r="L31" s="5">
        <v>11</v>
      </c>
      <c r="M31" s="5">
        <v>12</v>
      </c>
    </row>
    <row r="32" spans="1:13" x14ac:dyDescent="0.35">
      <c r="A32" s="5" t="s">
        <v>1</v>
      </c>
      <c r="B32" s="7">
        <v>1</v>
      </c>
      <c r="C32" s="7">
        <v>1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</row>
    <row r="33" spans="1:13" x14ac:dyDescent="0.35">
      <c r="A33" s="5" t="s">
        <v>2</v>
      </c>
      <c r="B33" s="7">
        <v>1</v>
      </c>
      <c r="C33" s="7">
        <v>1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</row>
    <row r="34" spans="1:13" x14ac:dyDescent="0.35">
      <c r="A34" s="5" t="s">
        <v>3</v>
      </c>
      <c r="B34" s="7">
        <v>1</v>
      </c>
      <c r="C34" s="7">
        <v>1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</row>
    <row r="35" spans="1:13" x14ac:dyDescent="0.35">
      <c r="A35" s="5" t="s">
        <v>4</v>
      </c>
      <c r="B35" s="7">
        <v>1</v>
      </c>
      <c r="C35" s="7">
        <v>1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</row>
    <row r="36" spans="1:13" x14ac:dyDescent="0.35">
      <c r="A36" s="5" t="s">
        <v>5</v>
      </c>
      <c r="B36" s="7">
        <v>1</v>
      </c>
      <c r="C36" s="7">
        <v>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</row>
    <row r="37" spans="1:13" x14ac:dyDescent="0.35">
      <c r="A37" s="5" t="s">
        <v>6</v>
      </c>
      <c r="B37" s="7">
        <v>1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</row>
    <row r="38" spans="1:13" x14ac:dyDescent="0.35">
      <c r="A38" s="5" t="s">
        <v>7</v>
      </c>
      <c r="B38" s="7">
        <v>1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</row>
    <row r="39" spans="1:13" x14ac:dyDescent="0.35">
      <c r="A39" s="5" t="s">
        <v>8</v>
      </c>
      <c r="B39" s="7">
        <v>1</v>
      </c>
      <c r="C39" s="7">
        <v>1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</row>
    <row r="41" spans="1:13" x14ac:dyDescent="0.35">
      <c r="A41" s="4" t="s">
        <v>12</v>
      </c>
      <c r="B41" s="5">
        <v>1</v>
      </c>
      <c r="C41" s="5">
        <v>2</v>
      </c>
      <c r="D41" s="5">
        <v>3</v>
      </c>
      <c r="E41" s="5">
        <v>4</v>
      </c>
      <c r="F41" s="5">
        <v>5</v>
      </c>
      <c r="G41" s="5">
        <v>6</v>
      </c>
      <c r="H41" s="5">
        <v>7</v>
      </c>
      <c r="I41" s="5">
        <v>8</v>
      </c>
      <c r="J41" s="5">
        <v>9</v>
      </c>
      <c r="K41" s="5">
        <v>10</v>
      </c>
      <c r="L41" s="5">
        <v>11</v>
      </c>
      <c r="M41" s="5">
        <v>12</v>
      </c>
    </row>
    <row r="42" spans="1:13" x14ac:dyDescent="0.35">
      <c r="A42" s="5" t="s">
        <v>1</v>
      </c>
      <c r="B42" s="6"/>
      <c r="C42" s="6"/>
      <c r="D42" s="6"/>
      <c r="E42" s="7">
        <v>100</v>
      </c>
      <c r="F42" s="7">
        <v>100</v>
      </c>
      <c r="G42" s="7">
        <v>100</v>
      </c>
      <c r="H42" s="6">
        <v>60</v>
      </c>
      <c r="I42" s="6">
        <v>60</v>
      </c>
      <c r="J42" s="6">
        <v>60</v>
      </c>
      <c r="K42" s="7">
        <v>100</v>
      </c>
      <c r="L42" s="7">
        <v>100</v>
      </c>
      <c r="M42" s="7">
        <v>100</v>
      </c>
    </row>
    <row r="43" spans="1:13" x14ac:dyDescent="0.35">
      <c r="A43" s="5" t="s">
        <v>2</v>
      </c>
      <c r="B43" s="9"/>
      <c r="C43" s="9"/>
      <c r="D43" s="9"/>
      <c r="E43" s="7">
        <v>250</v>
      </c>
      <c r="F43" s="7">
        <v>250</v>
      </c>
      <c r="G43" s="7">
        <v>250</v>
      </c>
      <c r="H43" s="9">
        <v>45</v>
      </c>
      <c r="I43" s="9">
        <v>45</v>
      </c>
      <c r="J43" s="9">
        <v>45</v>
      </c>
      <c r="K43" s="7">
        <v>250</v>
      </c>
      <c r="L43" s="7">
        <v>250</v>
      </c>
      <c r="M43" s="7">
        <v>250</v>
      </c>
    </row>
    <row r="44" spans="1:13" x14ac:dyDescent="0.35">
      <c r="A44" s="5" t="s">
        <v>3</v>
      </c>
      <c r="B44" s="6"/>
      <c r="C44" s="6"/>
      <c r="D44" s="6"/>
      <c r="E44" s="7">
        <v>500</v>
      </c>
      <c r="F44" s="7">
        <v>500</v>
      </c>
      <c r="G44" s="7">
        <v>500</v>
      </c>
      <c r="H44" s="6">
        <v>30</v>
      </c>
      <c r="I44" s="6">
        <v>30</v>
      </c>
      <c r="J44" s="6">
        <v>30</v>
      </c>
      <c r="K44" s="7">
        <v>500</v>
      </c>
      <c r="L44" s="7">
        <v>500</v>
      </c>
      <c r="M44" s="7">
        <v>500</v>
      </c>
    </row>
    <row r="45" spans="1:13" x14ac:dyDescent="0.35">
      <c r="A45" s="5" t="s">
        <v>4</v>
      </c>
      <c r="B45" s="6"/>
      <c r="C45" s="6"/>
      <c r="D45" s="6"/>
      <c r="E45" s="7">
        <v>60</v>
      </c>
      <c r="F45" s="7">
        <v>60</v>
      </c>
      <c r="G45" s="7">
        <v>60</v>
      </c>
      <c r="H45" s="6">
        <v>18</v>
      </c>
      <c r="I45" s="6">
        <v>18</v>
      </c>
      <c r="J45" s="6">
        <v>18</v>
      </c>
      <c r="K45" s="7">
        <v>9</v>
      </c>
      <c r="L45" s="7">
        <v>9</v>
      </c>
      <c r="M45" s="7">
        <v>9</v>
      </c>
    </row>
    <row r="46" spans="1:13" x14ac:dyDescent="0.35">
      <c r="A46" s="5" t="s">
        <v>5</v>
      </c>
      <c r="B46" s="6"/>
      <c r="C46" s="6"/>
      <c r="D46" s="6"/>
      <c r="E46" s="7">
        <v>45</v>
      </c>
      <c r="F46" s="7">
        <v>45</v>
      </c>
      <c r="G46" s="7">
        <v>45</v>
      </c>
      <c r="H46" s="6">
        <v>9</v>
      </c>
      <c r="I46" s="6">
        <v>9</v>
      </c>
      <c r="J46" s="6">
        <v>9</v>
      </c>
      <c r="K46" s="7"/>
      <c r="L46" s="7"/>
      <c r="M46" s="7"/>
    </row>
    <row r="47" spans="1:13" x14ac:dyDescent="0.35">
      <c r="A47" s="5" t="s">
        <v>6</v>
      </c>
      <c r="B47" s="6">
        <v>6</v>
      </c>
      <c r="C47" s="6">
        <v>6</v>
      </c>
      <c r="D47" s="6">
        <v>6</v>
      </c>
      <c r="E47" s="7">
        <v>30</v>
      </c>
      <c r="F47" s="7">
        <v>30</v>
      </c>
      <c r="G47" s="7">
        <v>30</v>
      </c>
      <c r="H47" s="6">
        <v>6</v>
      </c>
      <c r="I47" s="6">
        <v>6</v>
      </c>
      <c r="J47" s="6">
        <v>6</v>
      </c>
      <c r="K47" s="7"/>
      <c r="L47" s="7"/>
      <c r="M47" s="7"/>
    </row>
    <row r="48" spans="1:13" x14ac:dyDescent="0.35">
      <c r="A48" s="5" t="s">
        <v>7</v>
      </c>
      <c r="B48" s="6">
        <v>3</v>
      </c>
      <c r="C48" s="6">
        <v>3</v>
      </c>
      <c r="D48" s="6">
        <v>3</v>
      </c>
      <c r="E48" s="6">
        <v>18</v>
      </c>
      <c r="F48" s="6">
        <v>18</v>
      </c>
      <c r="G48" s="6">
        <v>18</v>
      </c>
      <c r="H48" s="6">
        <v>3</v>
      </c>
      <c r="I48" s="6">
        <v>3</v>
      </c>
      <c r="J48" s="6">
        <v>3</v>
      </c>
      <c r="K48" s="7"/>
      <c r="L48" s="7"/>
      <c r="M48" s="7"/>
    </row>
    <row r="49" spans="1:13" ht="17.25" customHeight="1" x14ac:dyDescent="0.35">
      <c r="A49" s="5" t="s">
        <v>8</v>
      </c>
      <c r="B49">
        <v>0.6</v>
      </c>
      <c r="C49">
        <v>0.6</v>
      </c>
      <c r="D49">
        <v>0.6</v>
      </c>
      <c r="E49" s="7">
        <v>0</v>
      </c>
      <c r="F49" s="7">
        <v>0</v>
      </c>
      <c r="G49" s="7">
        <v>0</v>
      </c>
      <c r="H49" s="6">
        <v>0.6</v>
      </c>
      <c r="I49" s="6">
        <v>0.6</v>
      </c>
      <c r="J49" s="6">
        <v>0.6</v>
      </c>
      <c r="K49" s="7">
        <v>0</v>
      </c>
      <c r="L49" s="7">
        <v>0</v>
      </c>
      <c r="M49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98EC-7EC9-405D-B1FA-23EEEECB0E3C}">
  <sheetPr codeName="Sheet5"/>
  <dimension ref="A1:M39"/>
  <sheetViews>
    <sheetView topLeftCell="A7" workbookViewId="0">
      <selection activeCell="W22" sqref="W22:W23"/>
    </sheetView>
  </sheetViews>
  <sheetFormatPr defaultRowHeight="14.5" x14ac:dyDescent="0.35"/>
  <cols>
    <col min="1" max="1" width="11.26953125" customWidth="1"/>
    <col min="7" max="7" width="11.1796875" customWidth="1"/>
    <col min="8" max="8" width="12.26953125" customWidth="1"/>
    <col min="9" max="9" width="11.453125" customWidth="1"/>
    <col min="10" max="10" width="11.81640625" customWidth="1"/>
  </cols>
  <sheetData>
    <row r="1" spans="1:13" x14ac:dyDescent="0.3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35">
      <c r="A2" s="2" t="s">
        <v>1</v>
      </c>
      <c r="B2" s="3">
        <v>0.109</v>
      </c>
      <c r="C2" s="3">
        <v>0.109</v>
      </c>
      <c r="D2" s="3">
        <v>0.107</v>
      </c>
      <c r="E2" s="3">
        <v>6.3E-2</v>
      </c>
      <c r="F2" s="3">
        <v>6.0999999999999999E-2</v>
      </c>
      <c r="G2" s="3">
        <v>6.5000000000000002E-2</v>
      </c>
      <c r="H2" s="3">
        <v>4.7E-2</v>
      </c>
      <c r="I2" s="3">
        <v>0.05</v>
      </c>
      <c r="J2" s="3">
        <v>4.7E-2</v>
      </c>
      <c r="K2" s="3">
        <v>4.8000000000000001E-2</v>
      </c>
      <c r="L2" s="3">
        <v>5.5E-2</v>
      </c>
      <c r="M2" s="3">
        <v>4.8000000000000001E-2</v>
      </c>
    </row>
    <row r="3" spans="1:13" x14ac:dyDescent="0.35">
      <c r="A3" s="2" t="s">
        <v>2</v>
      </c>
      <c r="B3" s="3">
        <v>0.14899999999999999</v>
      </c>
      <c r="C3" s="3">
        <v>7.5999999999999998E-2</v>
      </c>
      <c r="D3" s="3">
        <v>9.0999999999999998E-2</v>
      </c>
      <c r="E3" s="3">
        <v>5.5E-2</v>
      </c>
      <c r="F3" s="3">
        <v>4.8000000000000001E-2</v>
      </c>
      <c r="G3" s="3">
        <v>4.5999999999999999E-2</v>
      </c>
      <c r="H3" s="3">
        <v>5.5E-2</v>
      </c>
      <c r="I3" s="3">
        <v>5.3999999999999999E-2</v>
      </c>
      <c r="J3" s="3">
        <v>5.1999999999999998E-2</v>
      </c>
      <c r="K3" s="3">
        <v>4.7E-2</v>
      </c>
      <c r="L3" s="3">
        <v>4.7E-2</v>
      </c>
      <c r="M3" s="3">
        <v>4.5999999999999999E-2</v>
      </c>
    </row>
    <row r="4" spans="1:13" x14ac:dyDescent="0.35">
      <c r="A4" s="2" t="s">
        <v>3</v>
      </c>
      <c r="B4" s="3">
        <v>4.3999999999999997E-2</v>
      </c>
      <c r="C4" s="3">
        <v>4.3999999999999997E-2</v>
      </c>
      <c r="D4" s="3">
        <v>4.2999999999999997E-2</v>
      </c>
      <c r="E4" s="3">
        <v>4.4999999999999998E-2</v>
      </c>
      <c r="F4" s="3">
        <v>5.8000000000000003E-2</v>
      </c>
      <c r="G4" s="3">
        <v>4.7E-2</v>
      </c>
      <c r="H4" s="3">
        <v>8.1000000000000003E-2</v>
      </c>
      <c r="I4" s="3">
        <v>7.5999999999999998E-2</v>
      </c>
      <c r="J4" s="3">
        <v>7.6999999999999999E-2</v>
      </c>
      <c r="K4" s="3">
        <v>4.7E-2</v>
      </c>
      <c r="L4" s="3">
        <v>4.7E-2</v>
      </c>
      <c r="M4" s="3">
        <v>4.7E-2</v>
      </c>
    </row>
    <row r="5" spans="1:13" x14ac:dyDescent="0.35">
      <c r="A5" s="2" t="s">
        <v>4</v>
      </c>
      <c r="B5" s="3">
        <v>3.7999999999999999E-2</v>
      </c>
      <c r="C5" s="3">
        <v>3.7999999999999999E-2</v>
      </c>
      <c r="D5" s="3">
        <v>3.7999999999999999E-2</v>
      </c>
      <c r="E5" s="3">
        <v>4.7E-2</v>
      </c>
      <c r="F5" s="3">
        <v>4.4999999999999998E-2</v>
      </c>
      <c r="G5" s="3">
        <v>4.5999999999999999E-2</v>
      </c>
      <c r="H5" s="3">
        <v>7.5999999999999998E-2</v>
      </c>
      <c r="I5" s="3">
        <v>7.6999999999999999E-2</v>
      </c>
      <c r="J5" s="3">
        <v>7.5999999999999998E-2</v>
      </c>
      <c r="K5" s="3">
        <v>4.8000000000000001E-2</v>
      </c>
      <c r="L5" s="3">
        <v>4.8000000000000001E-2</v>
      </c>
      <c r="M5" s="3">
        <v>4.7E-2</v>
      </c>
    </row>
    <row r="6" spans="1:13" x14ac:dyDescent="0.35">
      <c r="A6" s="2" t="s">
        <v>5</v>
      </c>
      <c r="B6" s="3">
        <v>3.9E-2</v>
      </c>
      <c r="C6" s="3">
        <v>3.9E-2</v>
      </c>
      <c r="D6" s="3">
        <v>3.7999999999999999E-2</v>
      </c>
      <c r="E6" s="3">
        <v>4.2999999999999997E-2</v>
      </c>
      <c r="F6" s="3">
        <v>4.5999999999999999E-2</v>
      </c>
      <c r="G6" s="3">
        <v>4.2999999999999997E-2</v>
      </c>
      <c r="H6" s="3">
        <v>5.1999999999999998E-2</v>
      </c>
      <c r="I6" s="3">
        <v>5.1999999999999998E-2</v>
      </c>
      <c r="J6" s="3">
        <v>5.0999999999999997E-2</v>
      </c>
      <c r="K6" s="3">
        <v>4.8000000000000001E-2</v>
      </c>
      <c r="L6" s="3">
        <v>4.7E-2</v>
      </c>
      <c r="M6" s="3">
        <v>4.7E-2</v>
      </c>
    </row>
    <row r="7" spans="1:13" x14ac:dyDescent="0.35">
      <c r="A7" s="2" t="s">
        <v>6</v>
      </c>
      <c r="B7" s="3">
        <v>3.6999999999999998E-2</v>
      </c>
      <c r="C7" s="3">
        <v>3.6999999999999998E-2</v>
      </c>
      <c r="D7" s="3">
        <v>3.7999999999999999E-2</v>
      </c>
      <c r="E7" s="3">
        <v>4.7E-2</v>
      </c>
      <c r="F7" s="3">
        <v>4.7E-2</v>
      </c>
      <c r="G7" s="3">
        <v>4.5999999999999999E-2</v>
      </c>
      <c r="H7" s="3">
        <v>0.13500000000000001</v>
      </c>
      <c r="I7" s="3">
        <v>0.152</v>
      </c>
      <c r="J7" s="3">
        <v>0.14699999999999999</v>
      </c>
      <c r="K7" s="3">
        <v>4.8000000000000001E-2</v>
      </c>
      <c r="L7" s="3">
        <v>4.7E-2</v>
      </c>
      <c r="M7" s="3">
        <v>4.7E-2</v>
      </c>
    </row>
    <row r="8" spans="1:13" x14ac:dyDescent="0.35">
      <c r="A8" s="2" t="s">
        <v>7</v>
      </c>
      <c r="B8" s="3">
        <v>3.6999999999999998E-2</v>
      </c>
      <c r="C8" s="3">
        <v>3.7999999999999999E-2</v>
      </c>
      <c r="D8" s="3">
        <v>3.6999999999999998E-2</v>
      </c>
      <c r="E8" s="3">
        <v>5.5E-2</v>
      </c>
      <c r="F8" s="3">
        <v>5.2999999999999999E-2</v>
      </c>
      <c r="G8" s="3">
        <v>5.2999999999999999E-2</v>
      </c>
      <c r="H8" s="3">
        <v>4.9000000000000002E-2</v>
      </c>
      <c r="I8" s="3">
        <v>4.9000000000000002E-2</v>
      </c>
      <c r="J8" s="3">
        <v>4.9000000000000002E-2</v>
      </c>
      <c r="K8" s="3">
        <v>4.7E-2</v>
      </c>
      <c r="L8" s="3">
        <v>4.9000000000000002E-2</v>
      </c>
      <c r="M8" s="3">
        <v>4.7E-2</v>
      </c>
    </row>
    <row r="9" spans="1:13" x14ac:dyDescent="0.35">
      <c r="A9" s="2" t="s">
        <v>8</v>
      </c>
      <c r="B9" s="3">
        <v>3.6999999999999998E-2</v>
      </c>
      <c r="C9" s="3">
        <v>3.6999999999999998E-2</v>
      </c>
      <c r="D9" s="3">
        <v>3.9E-2</v>
      </c>
      <c r="E9" s="3">
        <v>5.0999999999999997E-2</v>
      </c>
      <c r="F9" s="3">
        <v>0.05</v>
      </c>
      <c r="G9" s="3">
        <v>0.05</v>
      </c>
      <c r="H9" s="3">
        <v>4.5999999999999999E-2</v>
      </c>
      <c r="I9" s="3">
        <v>4.7E-2</v>
      </c>
      <c r="J9" s="3">
        <v>4.8000000000000001E-2</v>
      </c>
      <c r="K9" s="3">
        <v>4.7E-2</v>
      </c>
      <c r="L9" s="3">
        <v>4.7E-2</v>
      </c>
      <c r="M9" s="3">
        <v>4.7E-2</v>
      </c>
    </row>
    <row r="11" spans="1:13" x14ac:dyDescent="0.35">
      <c r="A11" s="1" t="s">
        <v>9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3" x14ac:dyDescent="0.35">
      <c r="A12" s="2" t="s">
        <v>1</v>
      </c>
      <c r="B12" s="3">
        <v>0.17199999999999999</v>
      </c>
      <c r="C12" s="3">
        <v>0.188</v>
      </c>
      <c r="D12" s="3">
        <v>0.182</v>
      </c>
      <c r="E12" s="3">
        <v>6.4000000000000001E-2</v>
      </c>
      <c r="F12" s="3">
        <v>6.2E-2</v>
      </c>
      <c r="G12" s="3">
        <v>6.6000000000000003E-2</v>
      </c>
      <c r="H12" s="3">
        <v>4.9000000000000002E-2</v>
      </c>
      <c r="I12" s="3">
        <v>5.0999999999999997E-2</v>
      </c>
      <c r="J12" s="3">
        <v>4.9000000000000002E-2</v>
      </c>
      <c r="K12" s="3">
        <v>0.05</v>
      </c>
      <c r="L12" s="3">
        <v>5.6000000000000001E-2</v>
      </c>
      <c r="M12" s="3">
        <v>5.0999999999999997E-2</v>
      </c>
    </row>
    <row r="13" spans="1:13" x14ac:dyDescent="0.35">
      <c r="A13" s="2" t="s">
        <v>2</v>
      </c>
      <c r="B13" s="3">
        <v>0.115</v>
      </c>
      <c r="C13" s="3">
        <v>0.121</v>
      </c>
      <c r="D13" s="3">
        <v>0.129</v>
      </c>
      <c r="E13" s="3">
        <v>5.6000000000000001E-2</v>
      </c>
      <c r="F13" s="3">
        <v>4.9000000000000002E-2</v>
      </c>
      <c r="G13" s="3">
        <v>4.7E-2</v>
      </c>
      <c r="H13" s="3">
        <v>6.0999999999999999E-2</v>
      </c>
      <c r="I13" s="3">
        <v>5.8000000000000003E-2</v>
      </c>
      <c r="J13" s="3">
        <v>5.7000000000000002E-2</v>
      </c>
      <c r="K13" s="3">
        <v>4.8000000000000001E-2</v>
      </c>
      <c r="L13" s="3">
        <v>4.7E-2</v>
      </c>
      <c r="M13" s="3">
        <v>5.0999999999999997E-2</v>
      </c>
    </row>
    <row r="14" spans="1:13" x14ac:dyDescent="0.35">
      <c r="A14" s="2" t="s">
        <v>3</v>
      </c>
      <c r="B14" s="3">
        <v>5.2999999999999999E-2</v>
      </c>
      <c r="C14" s="3">
        <v>5.1999999999999998E-2</v>
      </c>
      <c r="D14" s="3">
        <v>5.1999999999999998E-2</v>
      </c>
      <c r="E14" s="3">
        <v>4.7E-2</v>
      </c>
      <c r="F14" s="3">
        <v>5.7000000000000002E-2</v>
      </c>
      <c r="G14" s="3">
        <v>4.9000000000000002E-2</v>
      </c>
      <c r="H14" s="3">
        <v>0.09</v>
      </c>
      <c r="I14" s="3">
        <v>7.8E-2</v>
      </c>
      <c r="J14" s="3">
        <v>7.8E-2</v>
      </c>
      <c r="K14" s="3">
        <v>4.7E-2</v>
      </c>
      <c r="L14" s="3">
        <v>4.8000000000000001E-2</v>
      </c>
      <c r="M14" s="3">
        <v>4.7E-2</v>
      </c>
    </row>
    <row r="15" spans="1:13" x14ac:dyDescent="0.35">
      <c r="A15" s="2" t="s">
        <v>4</v>
      </c>
      <c r="B15" s="3">
        <v>3.9E-2</v>
      </c>
      <c r="C15" s="3">
        <v>0.04</v>
      </c>
      <c r="D15" s="3">
        <v>3.9E-2</v>
      </c>
      <c r="E15" s="3">
        <v>4.8000000000000001E-2</v>
      </c>
      <c r="F15" s="3">
        <v>4.7E-2</v>
      </c>
      <c r="G15" s="3">
        <v>4.9000000000000002E-2</v>
      </c>
      <c r="H15" s="3">
        <v>7.6999999999999999E-2</v>
      </c>
      <c r="I15" s="3">
        <v>7.8E-2</v>
      </c>
      <c r="J15" s="3">
        <v>7.6999999999999999E-2</v>
      </c>
      <c r="K15" s="3">
        <v>4.8000000000000001E-2</v>
      </c>
      <c r="L15" s="3">
        <v>4.9000000000000002E-2</v>
      </c>
      <c r="M15" s="3">
        <v>4.8000000000000001E-2</v>
      </c>
    </row>
    <row r="16" spans="1:13" x14ac:dyDescent="0.35">
      <c r="A16" s="2" t="s">
        <v>5</v>
      </c>
      <c r="B16" s="3">
        <v>0.105</v>
      </c>
      <c r="C16" s="3">
        <v>0.13800000000000001</v>
      </c>
      <c r="D16" s="3">
        <v>0.106</v>
      </c>
      <c r="E16" s="3">
        <v>4.4999999999999998E-2</v>
      </c>
      <c r="F16" s="3">
        <v>4.8000000000000001E-2</v>
      </c>
      <c r="G16" s="3">
        <v>4.4999999999999998E-2</v>
      </c>
      <c r="H16" s="3">
        <v>5.2999999999999999E-2</v>
      </c>
      <c r="I16" s="3">
        <v>5.2999999999999999E-2</v>
      </c>
      <c r="J16" s="3">
        <v>5.2999999999999999E-2</v>
      </c>
      <c r="K16" s="3">
        <v>4.8000000000000001E-2</v>
      </c>
      <c r="L16" s="3">
        <v>4.8000000000000001E-2</v>
      </c>
      <c r="M16" s="3">
        <v>4.9000000000000002E-2</v>
      </c>
    </row>
    <row r="17" spans="1:13" x14ac:dyDescent="0.35">
      <c r="A17" s="2" t="s">
        <v>6</v>
      </c>
      <c r="B17" s="3">
        <v>0.1</v>
      </c>
      <c r="C17" s="3">
        <v>8.1000000000000003E-2</v>
      </c>
      <c r="D17" s="3">
        <v>6.6000000000000003E-2</v>
      </c>
      <c r="E17" s="3">
        <v>4.8000000000000001E-2</v>
      </c>
      <c r="F17" s="3">
        <v>4.8000000000000001E-2</v>
      </c>
      <c r="G17" s="3">
        <v>4.7E-2</v>
      </c>
      <c r="H17" s="3">
        <v>0.19</v>
      </c>
      <c r="I17" s="3">
        <v>0.20699999999999999</v>
      </c>
      <c r="J17" s="3">
        <v>0.216</v>
      </c>
      <c r="K17" s="3">
        <v>0.05</v>
      </c>
      <c r="L17" s="3">
        <v>4.8000000000000001E-2</v>
      </c>
      <c r="M17" s="3">
        <v>4.7E-2</v>
      </c>
    </row>
    <row r="18" spans="1:13" x14ac:dyDescent="0.35">
      <c r="A18" s="2" t="s">
        <v>7</v>
      </c>
      <c r="B18" s="3">
        <v>4.5999999999999999E-2</v>
      </c>
      <c r="C18" s="3">
        <v>5.0999999999999997E-2</v>
      </c>
      <c r="D18" s="3">
        <v>4.8000000000000001E-2</v>
      </c>
      <c r="E18" s="3">
        <v>5.5E-2</v>
      </c>
      <c r="F18" s="3">
        <v>5.5E-2</v>
      </c>
      <c r="G18" s="3">
        <v>5.3999999999999999E-2</v>
      </c>
      <c r="H18" s="3">
        <v>5.0999999999999997E-2</v>
      </c>
      <c r="I18" s="3">
        <v>5.0999999999999997E-2</v>
      </c>
      <c r="J18" s="3">
        <v>5.0999999999999997E-2</v>
      </c>
      <c r="K18" s="3">
        <v>4.8000000000000001E-2</v>
      </c>
      <c r="L18" s="3">
        <v>4.8000000000000001E-2</v>
      </c>
      <c r="M18" s="3">
        <v>4.7E-2</v>
      </c>
    </row>
    <row r="19" spans="1:13" x14ac:dyDescent="0.35">
      <c r="A19" s="2" t="s">
        <v>8</v>
      </c>
      <c r="B19" s="3">
        <v>3.7999999999999999E-2</v>
      </c>
      <c r="C19" s="3">
        <v>3.7999999999999999E-2</v>
      </c>
      <c r="D19" s="3">
        <v>3.7999999999999999E-2</v>
      </c>
      <c r="E19" s="3">
        <v>5.2999999999999999E-2</v>
      </c>
      <c r="F19" s="3">
        <v>5.0999999999999997E-2</v>
      </c>
      <c r="G19" s="3">
        <v>5.2999999999999999E-2</v>
      </c>
      <c r="H19" s="3">
        <v>4.7E-2</v>
      </c>
      <c r="I19" s="3">
        <v>4.8000000000000001E-2</v>
      </c>
      <c r="J19" s="3">
        <v>4.9000000000000002E-2</v>
      </c>
      <c r="K19" s="3">
        <v>4.7E-2</v>
      </c>
      <c r="L19" s="3">
        <v>4.7E-2</v>
      </c>
      <c r="M19" s="3">
        <v>4.8000000000000001E-2</v>
      </c>
    </row>
    <row r="21" spans="1:13" x14ac:dyDescent="0.35">
      <c r="A21" s="4" t="s">
        <v>10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ht="37.5" x14ac:dyDescent="0.35">
      <c r="A22" s="5" t="s">
        <v>1</v>
      </c>
      <c r="B22" s="6" t="s">
        <v>79</v>
      </c>
      <c r="C22" s="6" t="s">
        <v>79</v>
      </c>
      <c r="D22" s="6" t="s">
        <v>79</v>
      </c>
      <c r="E22" s="7" t="s">
        <v>44</v>
      </c>
      <c r="F22" s="7" t="s">
        <v>44</v>
      </c>
      <c r="G22" s="7" t="s">
        <v>44</v>
      </c>
      <c r="H22" s="7" t="s">
        <v>52</v>
      </c>
      <c r="I22" s="7" t="s">
        <v>52</v>
      </c>
      <c r="J22" s="7" t="s">
        <v>52</v>
      </c>
      <c r="K22" s="7" t="s">
        <v>76</v>
      </c>
      <c r="L22" s="7" t="s">
        <v>76</v>
      </c>
      <c r="M22" s="7" t="s">
        <v>76</v>
      </c>
    </row>
    <row r="23" spans="1:13" ht="37.5" x14ac:dyDescent="0.35">
      <c r="A23" s="5" t="s">
        <v>2</v>
      </c>
      <c r="B23" s="6" t="s">
        <v>80</v>
      </c>
      <c r="C23" s="6" t="s">
        <v>80</v>
      </c>
      <c r="D23" s="6" t="s">
        <v>80</v>
      </c>
      <c r="E23" s="7" t="s">
        <v>45</v>
      </c>
      <c r="F23" s="7" t="s">
        <v>45</v>
      </c>
      <c r="G23" s="7" t="s">
        <v>45</v>
      </c>
      <c r="H23" s="7" t="s">
        <v>53</v>
      </c>
      <c r="I23" s="7" t="s">
        <v>53</v>
      </c>
      <c r="J23" s="7" t="s">
        <v>53</v>
      </c>
      <c r="K23" s="7" t="s">
        <v>76</v>
      </c>
      <c r="L23" s="7" t="s">
        <v>76</v>
      </c>
      <c r="M23" s="7" t="s">
        <v>76</v>
      </c>
    </row>
    <row r="24" spans="1:13" ht="37.5" x14ac:dyDescent="0.35">
      <c r="A24" s="5" t="s">
        <v>3</v>
      </c>
      <c r="B24" s="6" t="s">
        <v>83</v>
      </c>
      <c r="C24" s="6" t="s">
        <v>83</v>
      </c>
      <c r="D24" s="6" t="s">
        <v>83</v>
      </c>
      <c r="E24" s="7" t="s">
        <v>46</v>
      </c>
      <c r="F24" s="7" t="s">
        <v>46</v>
      </c>
      <c r="G24" s="7" t="s">
        <v>46</v>
      </c>
      <c r="H24" s="7" t="s">
        <v>56</v>
      </c>
      <c r="I24" s="7" t="s">
        <v>56</v>
      </c>
      <c r="J24" s="7" t="s">
        <v>56</v>
      </c>
      <c r="K24" s="7" t="s">
        <v>76</v>
      </c>
      <c r="L24" s="7" t="s">
        <v>76</v>
      </c>
      <c r="M24" s="7" t="s">
        <v>76</v>
      </c>
    </row>
    <row r="25" spans="1:13" ht="37.5" x14ac:dyDescent="0.35">
      <c r="A25" s="5" t="s">
        <v>4</v>
      </c>
      <c r="B25" s="7" t="s">
        <v>88</v>
      </c>
      <c r="C25" s="7" t="s">
        <v>88</v>
      </c>
      <c r="D25" s="7" t="s">
        <v>88</v>
      </c>
      <c r="E25" s="7" t="s">
        <v>47</v>
      </c>
      <c r="F25" s="7" t="s">
        <v>47</v>
      </c>
      <c r="G25" s="7" t="s">
        <v>47</v>
      </c>
      <c r="H25" s="7" t="s">
        <v>57</v>
      </c>
      <c r="I25" s="7" t="s">
        <v>57</v>
      </c>
      <c r="J25" s="7" t="s">
        <v>57</v>
      </c>
      <c r="K25" s="7" t="s">
        <v>76</v>
      </c>
      <c r="L25" s="7" t="s">
        <v>76</v>
      </c>
      <c r="M25" s="7" t="s">
        <v>76</v>
      </c>
    </row>
    <row r="26" spans="1:13" ht="37.5" x14ac:dyDescent="0.35">
      <c r="A26" s="5" t="s">
        <v>5</v>
      </c>
      <c r="B26" s="23" t="s">
        <v>90</v>
      </c>
      <c r="C26" s="23" t="s">
        <v>90</v>
      </c>
      <c r="D26" s="23" t="s">
        <v>90</v>
      </c>
      <c r="E26" s="7" t="s">
        <v>48</v>
      </c>
      <c r="F26" s="7" t="s">
        <v>48</v>
      </c>
      <c r="G26" s="7" t="s">
        <v>48</v>
      </c>
      <c r="H26" s="7" t="s">
        <v>54</v>
      </c>
      <c r="I26" s="7" t="s">
        <v>54</v>
      </c>
      <c r="J26" s="7" t="s">
        <v>54</v>
      </c>
      <c r="K26" s="7" t="s">
        <v>76</v>
      </c>
      <c r="L26" s="7" t="s">
        <v>76</v>
      </c>
      <c r="M26" s="7" t="s">
        <v>76</v>
      </c>
    </row>
    <row r="27" spans="1:13" ht="25" x14ac:dyDescent="0.35">
      <c r="A27" s="5" t="s">
        <v>6</v>
      </c>
      <c r="B27" s="7" t="s">
        <v>92</v>
      </c>
      <c r="C27" s="7" t="s">
        <v>92</v>
      </c>
      <c r="D27" s="7" t="s">
        <v>92</v>
      </c>
      <c r="E27" s="7" t="s">
        <v>49</v>
      </c>
      <c r="F27" s="7" t="s">
        <v>49</v>
      </c>
      <c r="G27" s="7" t="s">
        <v>49</v>
      </c>
      <c r="H27" s="7" t="s">
        <v>58</v>
      </c>
      <c r="I27" s="7" t="s">
        <v>58</v>
      </c>
      <c r="J27" s="7" t="s">
        <v>58</v>
      </c>
      <c r="K27" s="7" t="s">
        <v>76</v>
      </c>
      <c r="L27" s="7" t="s">
        <v>76</v>
      </c>
      <c r="M27" s="7" t="s">
        <v>76</v>
      </c>
    </row>
    <row r="28" spans="1:13" ht="25" x14ac:dyDescent="0.35">
      <c r="A28" s="5" t="s">
        <v>7</v>
      </c>
      <c r="B28" s="7" t="s">
        <v>95</v>
      </c>
      <c r="C28" s="7" t="s">
        <v>95</v>
      </c>
      <c r="D28" s="7" t="s">
        <v>95</v>
      </c>
      <c r="E28" s="7" t="s">
        <v>50</v>
      </c>
      <c r="F28" s="7" t="s">
        <v>50</v>
      </c>
      <c r="G28" s="7" t="s">
        <v>50</v>
      </c>
      <c r="H28" s="7" t="s">
        <v>55</v>
      </c>
      <c r="I28" s="7" t="s">
        <v>55</v>
      </c>
      <c r="J28" s="7" t="s">
        <v>55</v>
      </c>
      <c r="K28" s="7" t="s">
        <v>76</v>
      </c>
      <c r="L28" s="7" t="s">
        <v>76</v>
      </c>
      <c r="M28" s="7" t="s">
        <v>76</v>
      </c>
    </row>
    <row r="29" spans="1:13" ht="37.5" x14ac:dyDescent="0.35">
      <c r="A29" s="5" t="s">
        <v>8</v>
      </c>
      <c r="B29" s="7" t="s">
        <v>88</v>
      </c>
      <c r="C29" s="7" t="s">
        <v>88</v>
      </c>
      <c r="D29" s="7" t="s">
        <v>88</v>
      </c>
      <c r="E29" s="7" t="s">
        <v>51</v>
      </c>
      <c r="F29" s="7" t="s">
        <v>51</v>
      </c>
      <c r="G29" s="7" t="s">
        <v>51</v>
      </c>
      <c r="H29" s="7" t="s">
        <v>76</v>
      </c>
      <c r="I29" s="7" t="s">
        <v>76</v>
      </c>
      <c r="J29" s="7" t="s">
        <v>76</v>
      </c>
      <c r="K29" s="7" t="s">
        <v>76</v>
      </c>
      <c r="L29" s="7" t="s">
        <v>76</v>
      </c>
      <c r="M29" s="7" t="s">
        <v>76</v>
      </c>
    </row>
    <row r="31" spans="1:13" x14ac:dyDescent="0.35">
      <c r="A31" s="4" t="s">
        <v>11</v>
      </c>
      <c r="B31" s="5">
        <v>1</v>
      </c>
      <c r="C31" s="5">
        <v>2</v>
      </c>
      <c r="D31" s="5">
        <v>3</v>
      </c>
      <c r="E31" s="5">
        <v>4</v>
      </c>
      <c r="F31" s="5">
        <v>5</v>
      </c>
      <c r="G31" s="5">
        <v>6</v>
      </c>
      <c r="H31" s="5">
        <v>7</v>
      </c>
      <c r="I31" s="5">
        <v>8</v>
      </c>
      <c r="J31" s="5">
        <v>9</v>
      </c>
      <c r="K31" s="5">
        <v>10</v>
      </c>
      <c r="L31" s="5">
        <v>11</v>
      </c>
      <c r="M31" s="5">
        <v>12</v>
      </c>
    </row>
    <row r="32" spans="1:13" x14ac:dyDescent="0.35">
      <c r="A32" s="5" t="s">
        <v>1</v>
      </c>
      <c r="B32" s="7">
        <v>1</v>
      </c>
      <c r="C32" s="7">
        <v>1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</row>
    <row r="33" spans="1:13" x14ac:dyDescent="0.35">
      <c r="A33" s="5" t="s">
        <v>2</v>
      </c>
      <c r="B33" s="7">
        <v>1</v>
      </c>
      <c r="C33" s="7">
        <v>1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</row>
    <row r="34" spans="1:13" x14ac:dyDescent="0.35">
      <c r="A34" s="5" t="s">
        <v>3</v>
      </c>
      <c r="B34" s="7">
        <v>1</v>
      </c>
      <c r="C34" s="7">
        <v>1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</row>
    <row r="35" spans="1:13" x14ac:dyDescent="0.35">
      <c r="A35" s="5" t="s">
        <v>4</v>
      </c>
      <c r="B35" s="7">
        <v>1</v>
      </c>
      <c r="C35" s="7">
        <v>1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</row>
    <row r="36" spans="1:13" x14ac:dyDescent="0.35">
      <c r="A36" s="5" t="s">
        <v>5</v>
      </c>
      <c r="B36" s="7">
        <v>1</v>
      </c>
      <c r="C36" s="7">
        <v>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</row>
    <row r="37" spans="1:13" x14ac:dyDescent="0.35">
      <c r="A37" s="5" t="s">
        <v>6</v>
      </c>
      <c r="B37" s="7">
        <v>1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</row>
    <row r="38" spans="1:13" x14ac:dyDescent="0.35">
      <c r="A38" s="5" t="s">
        <v>7</v>
      </c>
      <c r="B38" s="7">
        <v>1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</row>
    <row r="39" spans="1:13" x14ac:dyDescent="0.35">
      <c r="A39" s="5" t="s">
        <v>8</v>
      </c>
      <c r="B39" s="7">
        <v>1</v>
      </c>
      <c r="C39" s="7">
        <v>1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D937-B49D-4393-93E3-3A607819149B}">
  <sheetPr codeName="Sheet6"/>
  <dimension ref="A1:M39"/>
  <sheetViews>
    <sheetView workbookViewId="0">
      <selection activeCell="T23" sqref="T23"/>
    </sheetView>
  </sheetViews>
  <sheetFormatPr defaultRowHeight="14.5" x14ac:dyDescent="0.35"/>
  <cols>
    <col min="1" max="1" width="11.26953125" customWidth="1"/>
    <col min="7" max="7" width="11.1796875" customWidth="1"/>
    <col min="8" max="8" width="12.26953125" customWidth="1"/>
    <col min="9" max="9" width="11.453125" customWidth="1"/>
    <col min="10" max="10" width="11.81640625" customWidth="1"/>
  </cols>
  <sheetData>
    <row r="1" spans="1:13" x14ac:dyDescent="0.3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35">
      <c r="A2" s="2" t="s">
        <v>1</v>
      </c>
      <c r="B2" s="3">
        <v>0.109</v>
      </c>
      <c r="C2" s="3">
        <v>0.11799999999999999</v>
      </c>
      <c r="D2" s="3">
        <v>0.107</v>
      </c>
      <c r="E2" s="3">
        <v>4.9000000000000002E-2</v>
      </c>
      <c r="F2" s="3">
        <v>4.9000000000000002E-2</v>
      </c>
      <c r="G2" s="3">
        <v>4.9000000000000002E-2</v>
      </c>
      <c r="H2" s="3">
        <v>4.8000000000000001E-2</v>
      </c>
      <c r="I2" s="3">
        <v>4.8000000000000001E-2</v>
      </c>
      <c r="J2" s="3">
        <v>4.7E-2</v>
      </c>
      <c r="K2" s="3">
        <v>8.5000000000000006E-2</v>
      </c>
      <c r="L2" s="3">
        <v>8.3000000000000004E-2</v>
      </c>
      <c r="M2" s="3">
        <v>8.1000000000000003E-2</v>
      </c>
    </row>
    <row r="3" spans="1:13" x14ac:dyDescent="0.35">
      <c r="A3" s="2" t="s">
        <v>2</v>
      </c>
      <c r="B3" s="3">
        <v>7.5999999999999998E-2</v>
      </c>
      <c r="C3" s="3">
        <v>7.9000000000000001E-2</v>
      </c>
      <c r="D3" s="3">
        <v>8.3000000000000004E-2</v>
      </c>
      <c r="E3" s="3">
        <v>9.2999999999999999E-2</v>
      </c>
      <c r="F3" s="3">
        <v>0.09</v>
      </c>
      <c r="G3" s="3">
        <v>8.8999999999999996E-2</v>
      </c>
      <c r="H3" s="3">
        <v>6.6000000000000003E-2</v>
      </c>
      <c r="I3" s="3">
        <v>6.5000000000000002E-2</v>
      </c>
      <c r="J3" s="3">
        <v>6.4000000000000001E-2</v>
      </c>
      <c r="K3" s="3">
        <v>4.7E-2</v>
      </c>
      <c r="L3" s="3">
        <v>4.7E-2</v>
      </c>
      <c r="M3" s="3">
        <v>4.7E-2</v>
      </c>
    </row>
    <row r="4" spans="1:13" x14ac:dyDescent="0.35">
      <c r="A4" s="2" t="s">
        <v>3</v>
      </c>
      <c r="B4" s="3">
        <v>4.3999999999999997E-2</v>
      </c>
      <c r="C4" s="3">
        <v>4.4999999999999998E-2</v>
      </c>
      <c r="D4" s="3">
        <v>4.3999999999999997E-2</v>
      </c>
      <c r="E4" s="3">
        <v>0.15</v>
      </c>
      <c r="F4" s="3">
        <v>0.14099999999999999</v>
      </c>
      <c r="G4" s="3">
        <v>0.10199999999999999</v>
      </c>
      <c r="H4" s="3">
        <v>0.10199999999999999</v>
      </c>
      <c r="I4" s="3">
        <v>0.104</v>
      </c>
      <c r="J4" s="3">
        <v>0.10100000000000001</v>
      </c>
      <c r="K4" s="3">
        <v>4.8000000000000001E-2</v>
      </c>
      <c r="L4" s="3">
        <v>4.8000000000000001E-2</v>
      </c>
      <c r="M4" s="3">
        <v>4.8000000000000001E-2</v>
      </c>
    </row>
    <row r="5" spans="1:13" x14ac:dyDescent="0.35">
      <c r="A5" s="2" t="s">
        <v>4</v>
      </c>
      <c r="B5" s="3">
        <v>3.7999999999999999E-2</v>
      </c>
      <c r="C5" s="3">
        <v>3.7999999999999999E-2</v>
      </c>
      <c r="D5" s="3">
        <v>3.7999999999999999E-2</v>
      </c>
      <c r="E5" s="3">
        <v>7.0000000000000007E-2</v>
      </c>
      <c r="F5" s="3">
        <v>7.6999999999999999E-2</v>
      </c>
      <c r="G5" s="3">
        <v>6.8000000000000005E-2</v>
      </c>
      <c r="H5" s="3">
        <v>0.10199999999999999</v>
      </c>
      <c r="I5" s="3">
        <v>0.10199999999999999</v>
      </c>
      <c r="J5" s="3">
        <v>0.10100000000000001</v>
      </c>
      <c r="K5" s="3">
        <v>4.7E-2</v>
      </c>
      <c r="L5" s="3">
        <v>4.7E-2</v>
      </c>
      <c r="M5" s="3">
        <v>4.8000000000000001E-2</v>
      </c>
    </row>
    <row r="6" spans="1:13" x14ac:dyDescent="0.35">
      <c r="A6" s="2" t="s">
        <v>5</v>
      </c>
      <c r="B6" s="3">
        <v>3.9E-2</v>
      </c>
      <c r="C6" s="3">
        <v>3.9E-2</v>
      </c>
      <c r="D6" s="3">
        <v>3.9E-2</v>
      </c>
      <c r="E6" s="3">
        <v>0.17799999999999999</v>
      </c>
      <c r="F6" s="3">
        <v>0.19500000000000001</v>
      </c>
      <c r="G6" s="3">
        <v>0.17100000000000001</v>
      </c>
      <c r="H6" s="3">
        <v>7.3999999999999996E-2</v>
      </c>
      <c r="I6" s="3">
        <v>7.2999999999999995E-2</v>
      </c>
      <c r="J6" s="3">
        <v>7.1999999999999995E-2</v>
      </c>
      <c r="K6" s="3">
        <v>4.7E-2</v>
      </c>
      <c r="L6" s="3">
        <v>4.8000000000000001E-2</v>
      </c>
      <c r="M6" s="3">
        <v>4.8000000000000001E-2</v>
      </c>
    </row>
    <row r="7" spans="1:13" x14ac:dyDescent="0.35">
      <c r="A7" s="2" t="s">
        <v>6</v>
      </c>
      <c r="B7" s="3">
        <v>0.04</v>
      </c>
      <c r="C7" s="3">
        <v>3.9E-2</v>
      </c>
      <c r="D7" s="3">
        <v>3.7999999999999999E-2</v>
      </c>
      <c r="E7" s="3">
        <v>0.19900000000000001</v>
      </c>
      <c r="F7" s="3">
        <v>0.19</v>
      </c>
      <c r="G7" s="3">
        <v>0.184</v>
      </c>
      <c r="H7" s="3">
        <v>0.14599999999999999</v>
      </c>
      <c r="I7" s="3">
        <v>0.13900000000000001</v>
      </c>
      <c r="J7" s="3">
        <v>0.157</v>
      </c>
      <c r="K7" s="3">
        <v>0.05</v>
      </c>
      <c r="L7" s="3">
        <v>0.05</v>
      </c>
      <c r="M7" s="3">
        <v>4.7E-2</v>
      </c>
    </row>
    <row r="8" spans="1:13" x14ac:dyDescent="0.35">
      <c r="A8" s="2" t="s">
        <v>7</v>
      </c>
      <c r="B8" s="3">
        <v>3.7999999999999999E-2</v>
      </c>
      <c r="C8" s="3">
        <v>3.7999999999999999E-2</v>
      </c>
      <c r="D8" s="3">
        <v>0.04</v>
      </c>
      <c r="E8" s="3">
        <v>8.7999999999999995E-2</v>
      </c>
      <c r="F8" s="3">
        <v>7.5999999999999998E-2</v>
      </c>
      <c r="G8" s="3">
        <v>7.9000000000000001E-2</v>
      </c>
      <c r="H8" s="3">
        <v>7.6999999999999999E-2</v>
      </c>
      <c r="I8" s="3">
        <v>7.5999999999999998E-2</v>
      </c>
      <c r="J8" s="3">
        <v>7.2999999999999995E-2</v>
      </c>
      <c r="K8" s="3">
        <v>4.9000000000000002E-2</v>
      </c>
      <c r="L8" s="3">
        <v>4.9000000000000002E-2</v>
      </c>
      <c r="M8" s="3">
        <v>4.7E-2</v>
      </c>
    </row>
    <row r="9" spans="1:13" x14ac:dyDescent="0.35">
      <c r="A9" s="2" t="s">
        <v>8</v>
      </c>
      <c r="B9" s="3">
        <v>3.6999999999999998E-2</v>
      </c>
      <c r="C9" s="3">
        <v>3.6999999999999998E-2</v>
      </c>
      <c r="D9" s="3">
        <v>0.104</v>
      </c>
      <c r="E9" s="3">
        <v>5.6000000000000001E-2</v>
      </c>
      <c r="F9" s="3">
        <v>5.5E-2</v>
      </c>
      <c r="G9" s="3">
        <v>5.3999999999999999E-2</v>
      </c>
      <c r="H9" s="3">
        <v>8.8999999999999996E-2</v>
      </c>
      <c r="I9" s="3">
        <v>8.8999999999999996E-2</v>
      </c>
      <c r="J9" s="3">
        <v>8.8999999999999996E-2</v>
      </c>
      <c r="K9" s="3">
        <v>4.8000000000000001E-2</v>
      </c>
      <c r="L9" s="3">
        <v>4.7E-2</v>
      </c>
      <c r="M9" s="3">
        <v>5.6000000000000001E-2</v>
      </c>
    </row>
    <row r="11" spans="1:13" x14ac:dyDescent="0.35">
      <c r="A11" s="1" t="s">
        <v>9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3" x14ac:dyDescent="0.35">
      <c r="A12" s="2" t="s">
        <v>1</v>
      </c>
      <c r="B12" s="3">
        <v>0.189</v>
      </c>
      <c r="C12" s="3">
        <v>0.184</v>
      </c>
      <c r="D12" s="3">
        <v>0.192</v>
      </c>
      <c r="E12" s="3">
        <v>6.0999999999999999E-2</v>
      </c>
      <c r="F12" s="3">
        <v>5.8000000000000003E-2</v>
      </c>
      <c r="G12" s="3">
        <v>6.0999999999999999E-2</v>
      </c>
      <c r="H12" s="3">
        <v>4.9000000000000002E-2</v>
      </c>
      <c r="I12" s="3">
        <v>4.9000000000000002E-2</v>
      </c>
      <c r="J12" s="3">
        <v>4.8000000000000001E-2</v>
      </c>
      <c r="K12" s="3">
        <v>8.3000000000000004E-2</v>
      </c>
      <c r="L12" s="3">
        <v>8.1000000000000003E-2</v>
      </c>
      <c r="M12" s="3">
        <v>7.9000000000000001E-2</v>
      </c>
    </row>
    <row r="13" spans="1:13" x14ac:dyDescent="0.35">
      <c r="A13" s="2" t="s">
        <v>2</v>
      </c>
      <c r="B13" s="3">
        <v>0.107</v>
      </c>
      <c r="C13" s="3">
        <v>0.13400000000000001</v>
      </c>
      <c r="D13" s="3">
        <v>0.126</v>
      </c>
      <c r="E13" s="3">
        <v>9.4E-2</v>
      </c>
      <c r="F13" s="3">
        <v>9.8000000000000004E-2</v>
      </c>
      <c r="G13" s="3">
        <v>8.8999999999999996E-2</v>
      </c>
      <c r="H13" s="3">
        <v>6.5000000000000002E-2</v>
      </c>
      <c r="I13" s="3">
        <v>6.4000000000000001E-2</v>
      </c>
      <c r="J13" s="3">
        <v>6.3E-2</v>
      </c>
      <c r="K13" s="3">
        <v>4.7E-2</v>
      </c>
      <c r="L13" s="3">
        <v>4.7E-2</v>
      </c>
      <c r="M13" s="3">
        <v>4.7E-2</v>
      </c>
    </row>
    <row r="14" spans="1:13" x14ac:dyDescent="0.35">
      <c r="A14" s="2" t="s">
        <v>3</v>
      </c>
      <c r="B14" s="3">
        <v>5.2999999999999999E-2</v>
      </c>
      <c r="C14" s="3">
        <v>5.1999999999999998E-2</v>
      </c>
      <c r="D14" s="3">
        <v>5.1999999999999998E-2</v>
      </c>
      <c r="E14" s="3">
        <v>0.156</v>
      </c>
      <c r="F14" s="3">
        <v>0.151</v>
      </c>
      <c r="G14" s="3">
        <v>0.14699999999999999</v>
      </c>
      <c r="H14" s="3">
        <v>0.106</v>
      </c>
      <c r="I14" s="3">
        <v>0.104</v>
      </c>
      <c r="J14" s="3">
        <v>0.105</v>
      </c>
      <c r="K14" s="3">
        <v>4.8000000000000001E-2</v>
      </c>
      <c r="L14" s="3">
        <v>0.05</v>
      </c>
      <c r="M14" s="3">
        <v>4.7E-2</v>
      </c>
    </row>
    <row r="15" spans="1:13" x14ac:dyDescent="0.35">
      <c r="A15" s="2" t="s">
        <v>4</v>
      </c>
      <c r="B15" s="3">
        <v>3.9E-2</v>
      </c>
      <c r="C15" s="3">
        <v>0.04</v>
      </c>
      <c r="D15" s="3">
        <v>3.9E-2</v>
      </c>
      <c r="E15" s="3">
        <v>6.9000000000000006E-2</v>
      </c>
      <c r="F15" s="3">
        <v>7.9000000000000001E-2</v>
      </c>
      <c r="G15" s="3">
        <v>6.6000000000000003E-2</v>
      </c>
      <c r="H15" s="3">
        <v>0.108</v>
      </c>
      <c r="I15" s="3">
        <v>0.107</v>
      </c>
      <c r="J15" s="3">
        <v>0.10100000000000001</v>
      </c>
      <c r="K15" s="3">
        <v>4.7E-2</v>
      </c>
      <c r="L15" s="3">
        <v>4.8000000000000001E-2</v>
      </c>
      <c r="M15" s="3">
        <v>4.7E-2</v>
      </c>
    </row>
    <row r="16" spans="1:13" x14ac:dyDescent="0.35">
      <c r="A16" s="2" t="s">
        <v>5</v>
      </c>
      <c r="B16" s="3">
        <v>0.12</v>
      </c>
      <c r="C16" s="3">
        <v>0.129</v>
      </c>
      <c r="D16" s="3">
        <v>0.125</v>
      </c>
      <c r="E16" s="3">
        <v>0.18099999999999999</v>
      </c>
      <c r="F16" s="3">
        <v>0.19800000000000001</v>
      </c>
      <c r="G16" s="3">
        <v>0.17699999999999999</v>
      </c>
      <c r="H16" s="3">
        <v>7.3999999999999996E-2</v>
      </c>
      <c r="I16" s="3">
        <v>7.1999999999999995E-2</v>
      </c>
      <c r="J16" s="3">
        <v>7.1999999999999995E-2</v>
      </c>
      <c r="K16" s="3">
        <v>4.7E-2</v>
      </c>
      <c r="L16" s="3">
        <v>4.8000000000000001E-2</v>
      </c>
      <c r="M16" s="3">
        <v>4.7E-2</v>
      </c>
    </row>
    <row r="17" spans="1:13" x14ac:dyDescent="0.35">
      <c r="A17" s="2" t="s">
        <v>6</v>
      </c>
      <c r="B17" s="3">
        <v>0.09</v>
      </c>
      <c r="C17" s="3">
        <v>8.2000000000000003E-2</v>
      </c>
      <c r="D17" s="3">
        <v>5.8999999999999997E-2</v>
      </c>
      <c r="E17" s="3">
        <v>0.215</v>
      </c>
      <c r="F17" s="3">
        <v>0.20799999999999999</v>
      </c>
      <c r="G17" s="3">
        <v>0.2</v>
      </c>
      <c r="H17" s="3">
        <v>0.217</v>
      </c>
      <c r="I17" s="3">
        <v>0.21099999999999999</v>
      </c>
      <c r="J17" s="3">
        <v>0.23200000000000001</v>
      </c>
      <c r="K17" s="3">
        <v>0.05</v>
      </c>
      <c r="L17" s="3">
        <v>4.9000000000000002E-2</v>
      </c>
      <c r="M17" s="3">
        <v>4.7E-2</v>
      </c>
    </row>
    <row r="18" spans="1:13" x14ac:dyDescent="0.35">
      <c r="A18" s="2" t="s">
        <v>7</v>
      </c>
      <c r="B18" s="3">
        <v>4.4999999999999998E-2</v>
      </c>
      <c r="C18" s="3">
        <v>5.2999999999999999E-2</v>
      </c>
      <c r="D18" s="3">
        <v>4.5999999999999999E-2</v>
      </c>
      <c r="E18" s="3">
        <v>0.104</v>
      </c>
      <c r="F18" s="3">
        <v>7.2999999999999995E-2</v>
      </c>
      <c r="G18" s="3">
        <v>7.9000000000000001E-2</v>
      </c>
      <c r="H18" s="3">
        <v>7.4999999999999997E-2</v>
      </c>
      <c r="I18" s="3">
        <v>7.8E-2</v>
      </c>
      <c r="J18" s="3">
        <v>7.1999999999999995E-2</v>
      </c>
      <c r="K18" s="3">
        <v>4.9000000000000002E-2</v>
      </c>
      <c r="L18" s="3">
        <v>4.9000000000000002E-2</v>
      </c>
      <c r="M18" s="3">
        <v>4.7E-2</v>
      </c>
    </row>
    <row r="19" spans="1:13" x14ac:dyDescent="0.35">
      <c r="A19" s="2" t="s">
        <v>8</v>
      </c>
      <c r="B19" s="3">
        <v>3.7999999999999999E-2</v>
      </c>
      <c r="C19" s="3">
        <v>3.9E-2</v>
      </c>
      <c r="D19" s="3">
        <v>0.104</v>
      </c>
      <c r="E19" s="3">
        <v>5.8999999999999997E-2</v>
      </c>
      <c r="F19" s="3">
        <v>5.6000000000000001E-2</v>
      </c>
      <c r="G19" s="3">
        <v>5.5E-2</v>
      </c>
      <c r="H19" s="3">
        <v>9.0999999999999998E-2</v>
      </c>
      <c r="I19" s="3">
        <v>8.7999999999999995E-2</v>
      </c>
      <c r="J19" s="3">
        <v>8.7999999999999995E-2</v>
      </c>
      <c r="K19" s="3">
        <v>4.8000000000000001E-2</v>
      </c>
      <c r="L19" s="3">
        <v>4.7E-2</v>
      </c>
      <c r="M19" s="3">
        <v>4.7E-2</v>
      </c>
    </row>
    <row r="21" spans="1:13" x14ac:dyDescent="0.35">
      <c r="A21" s="4" t="s">
        <v>10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ht="37.5" x14ac:dyDescent="0.35">
      <c r="A22" s="5" t="s">
        <v>1</v>
      </c>
      <c r="B22" s="6" t="s">
        <v>79</v>
      </c>
      <c r="C22" s="6" t="s">
        <v>79</v>
      </c>
      <c r="D22" s="6" t="s">
        <v>79</v>
      </c>
      <c r="E22" s="7" t="s">
        <v>59</v>
      </c>
      <c r="F22" s="7" t="s">
        <v>59</v>
      </c>
      <c r="G22" s="7" t="s">
        <v>59</v>
      </c>
      <c r="H22" s="7" t="s">
        <v>67</v>
      </c>
      <c r="I22" s="7" t="s">
        <v>67</v>
      </c>
      <c r="J22" s="7" t="s">
        <v>67</v>
      </c>
      <c r="K22" s="7" t="s">
        <v>75</v>
      </c>
      <c r="L22" s="7" t="s">
        <v>75</v>
      </c>
      <c r="M22" s="7" t="s">
        <v>75</v>
      </c>
    </row>
    <row r="23" spans="1:13" ht="37.5" x14ac:dyDescent="0.35">
      <c r="A23" s="5" t="s">
        <v>2</v>
      </c>
      <c r="B23" s="6" t="s">
        <v>80</v>
      </c>
      <c r="C23" s="6" t="s">
        <v>80</v>
      </c>
      <c r="D23" s="6" t="s">
        <v>80</v>
      </c>
      <c r="E23" s="7" t="s">
        <v>60</v>
      </c>
      <c r="F23" s="7" t="s">
        <v>60</v>
      </c>
      <c r="G23" s="7" t="s">
        <v>60</v>
      </c>
      <c r="H23" s="7" t="s">
        <v>68</v>
      </c>
      <c r="I23" s="7" t="s">
        <v>68</v>
      </c>
      <c r="J23" s="7" t="s">
        <v>68</v>
      </c>
      <c r="K23" s="7" t="s">
        <v>76</v>
      </c>
      <c r="L23" s="7" t="s">
        <v>76</v>
      </c>
      <c r="M23" s="7" t="s">
        <v>76</v>
      </c>
    </row>
    <row r="24" spans="1:13" ht="37.5" x14ac:dyDescent="0.35">
      <c r="A24" s="5" t="s">
        <v>3</v>
      </c>
      <c r="B24" s="6" t="s">
        <v>83</v>
      </c>
      <c r="C24" s="6" t="s">
        <v>83</v>
      </c>
      <c r="D24" s="6" t="s">
        <v>83</v>
      </c>
      <c r="E24" s="7" t="s">
        <v>61</v>
      </c>
      <c r="F24" s="7" t="s">
        <v>61</v>
      </c>
      <c r="G24" s="7" t="s">
        <v>61</v>
      </c>
      <c r="H24" s="7" t="s">
        <v>69</v>
      </c>
      <c r="I24" s="7" t="s">
        <v>69</v>
      </c>
      <c r="J24" s="7" t="s">
        <v>69</v>
      </c>
      <c r="K24" s="7" t="s">
        <v>76</v>
      </c>
      <c r="L24" s="7" t="s">
        <v>76</v>
      </c>
      <c r="M24" s="7" t="s">
        <v>76</v>
      </c>
    </row>
    <row r="25" spans="1:13" ht="25" x14ac:dyDescent="0.35">
      <c r="A25" s="5" t="s">
        <v>4</v>
      </c>
      <c r="B25" s="20" t="s">
        <v>88</v>
      </c>
      <c r="C25" s="20" t="s">
        <v>88</v>
      </c>
      <c r="D25" s="20" t="s">
        <v>88</v>
      </c>
      <c r="E25" s="7" t="s">
        <v>62</v>
      </c>
      <c r="F25" s="7" t="s">
        <v>62</v>
      </c>
      <c r="G25" s="7" t="s">
        <v>62</v>
      </c>
      <c r="H25" s="7" t="s">
        <v>70</v>
      </c>
      <c r="I25" s="7" t="s">
        <v>70</v>
      </c>
      <c r="J25" s="7" t="s">
        <v>70</v>
      </c>
      <c r="K25" s="7" t="s">
        <v>76</v>
      </c>
      <c r="L25" s="7" t="s">
        <v>76</v>
      </c>
      <c r="M25" s="7" t="s">
        <v>76</v>
      </c>
    </row>
    <row r="26" spans="1:13" ht="37.5" x14ac:dyDescent="0.35">
      <c r="A26" s="5" t="s">
        <v>5</v>
      </c>
      <c r="B26" s="7" t="s">
        <v>91</v>
      </c>
      <c r="C26" s="7" t="s">
        <v>91</v>
      </c>
      <c r="D26" s="7" t="s">
        <v>91</v>
      </c>
      <c r="E26" s="7" t="s">
        <v>63</v>
      </c>
      <c r="F26" s="7" t="s">
        <v>63</v>
      </c>
      <c r="G26" s="7" t="s">
        <v>63</v>
      </c>
      <c r="H26" s="7" t="s">
        <v>71</v>
      </c>
      <c r="I26" s="7" t="s">
        <v>71</v>
      </c>
      <c r="J26" s="7" t="s">
        <v>71</v>
      </c>
      <c r="K26" s="7" t="s">
        <v>76</v>
      </c>
      <c r="L26" s="7" t="s">
        <v>76</v>
      </c>
      <c r="M26" s="7" t="s">
        <v>76</v>
      </c>
    </row>
    <row r="27" spans="1:13" ht="37.5" x14ac:dyDescent="0.35">
      <c r="A27" s="5" t="s">
        <v>6</v>
      </c>
      <c r="B27" s="7" t="s">
        <v>92</v>
      </c>
      <c r="C27" s="7" t="s">
        <v>92</v>
      </c>
      <c r="D27" s="7" t="s">
        <v>92</v>
      </c>
      <c r="E27" s="7" t="s">
        <v>64</v>
      </c>
      <c r="F27" s="7" t="s">
        <v>64</v>
      </c>
      <c r="G27" s="7" t="s">
        <v>64</v>
      </c>
      <c r="H27" s="7" t="s">
        <v>72</v>
      </c>
      <c r="I27" s="7" t="s">
        <v>72</v>
      </c>
      <c r="J27" s="7" t="s">
        <v>72</v>
      </c>
      <c r="K27" s="7" t="s">
        <v>76</v>
      </c>
      <c r="L27" s="7" t="s">
        <v>76</v>
      </c>
      <c r="M27" s="7" t="s">
        <v>76</v>
      </c>
    </row>
    <row r="28" spans="1:13" ht="25" x14ac:dyDescent="0.35">
      <c r="A28" s="5" t="s">
        <v>7</v>
      </c>
      <c r="B28" s="7" t="s">
        <v>95</v>
      </c>
      <c r="C28" s="7" t="s">
        <v>95</v>
      </c>
      <c r="D28" s="7" t="s">
        <v>95</v>
      </c>
      <c r="E28" s="7" t="s">
        <v>65</v>
      </c>
      <c r="F28" s="7" t="s">
        <v>65</v>
      </c>
      <c r="G28" s="7" t="s">
        <v>65</v>
      </c>
      <c r="H28" s="7" t="s">
        <v>73</v>
      </c>
      <c r="I28" s="7" t="s">
        <v>73</v>
      </c>
      <c r="J28" s="7" t="s">
        <v>73</v>
      </c>
      <c r="K28" s="7" t="s">
        <v>76</v>
      </c>
      <c r="L28" s="7" t="s">
        <v>76</v>
      </c>
      <c r="M28" s="7" t="s">
        <v>76</v>
      </c>
    </row>
    <row r="29" spans="1:13" ht="25" x14ac:dyDescent="0.35">
      <c r="A29" s="5" t="s">
        <v>8</v>
      </c>
      <c r="B29" s="7" t="s">
        <v>88</v>
      </c>
      <c r="C29" s="7" t="s">
        <v>88</v>
      </c>
      <c r="D29" s="7" t="s">
        <v>88</v>
      </c>
      <c r="E29" s="7" t="s">
        <v>66</v>
      </c>
      <c r="F29" s="7" t="s">
        <v>66</v>
      </c>
      <c r="G29" s="7" t="s">
        <v>66</v>
      </c>
      <c r="H29" s="7" t="s">
        <v>74</v>
      </c>
      <c r="I29" s="7" t="s">
        <v>74</v>
      </c>
      <c r="J29" s="7" t="s">
        <v>74</v>
      </c>
      <c r="K29" s="7" t="s">
        <v>76</v>
      </c>
      <c r="L29" s="7" t="s">
        <v>76</v>
      </c>
      <c r="M29" s="7" t="s">
        <v>76</v>
      </c>
    </row>
    <row r="31" spans="1:13" x14ac:dyDescent="0.35">
      <c r="A31" s="4" t="s">
        <v>11</v>
      </c>
      <c r="B31" s="5">
        <v>1</v>
      </c>
      <c r="C31" s="5">
        <v>2</v>
      </c>
      <c r="D31" s="5">
        <v>3</v>
      </c>
      <c r="E31" s="5">
        <v>4</v>
      </c>
      <c r="F31" s="5">
        <v>5</v>
      </c>
      <c r="G31" s="5">
        <v>6</v>
      </c>
      <c r="H31" s="5">
        <v>7</v>
      </c>
      <c r="I31" s="5">
        <v>8</v>
      </c>
      <c r="J31" s="5">
        <v>9</v>
      </c>
      <c r="K31" s="5">
        <v>10</v>
      </c>
      <c r="L31" s="5">
        <v>11</v>
      </c>
      <c r="M31" s="5">
        <v>12</v>
      </c>
    </row>
    <row r="32" spans="1:13" x14ac:dyDescent="0.35">
      <c r="A32" s="5" t="s">
        <v>1</v>
      </c>
      <c r="B32" s="7">
        <v>1</v>
      </c>
      <c r="C32" s="7">
        <v>1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</row>
    <row r="33" spans="1:13" x14ac:dyDescent="0.35">
      <c r="A33" s="5" t="s">
        <v>2</v>
      </c>
      <c r="B33" s="7">
        <v>1</v>
      </c>
      <c r="C33" s="7">
        <v>1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</row>
    <row r="34" spans="1:13" x14ac:dyDescent="0.35">
      <c r="A34" s="5" t="s">
        <v>3</v>
      </c>
      <c r="B34" s="7">
        <v>1</v>
      </c>
      <c r="C34" s="7">
        <v>1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</row>
    <row r="35" spans="1:13" x14ac:dyDescent="0.35">
      <c r="A35" s="5" t="s">
        <v>4</v>
      </c>
      <c r="B35" s="7">
        <v>1</v>
      </c>
      <c r="C35" s="7">
        <v>1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</row>
    <row r="36" spans="1:13" x14ac:dyDescent="0.35">
      <c r="A36" s="5" t="s">
        <v>5</v>
      </c>
      <c r="B36" s="7">
        <v>1</v>
      </c>
      <c r="C36" s="7">
        <v>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</row>
    <row r="37" spans="1:13" x14ac:dyDescent="0.35">
      <c r="A37" s="5" t="s">
        <v>6</v>
      </c>
      <c r="B37" s="7">
        <v>1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</row>
    <row r="38" spans="1:13" x14ac:dyDescent="0.35">
      <c r="A38" s="5" t="s">
        <v>7</v>
      </c>
      <c r="B38" s="7">
        <v>1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</row>
    <row r="39" spans="1:13" x14ac:dyDescent="0.35">
      <c r="A39" s="5" t="s">
        <v>8</v>
      </c>
      <c r="B39" s="7">
        <v>1</v>
      </c>
      <c r="C39" s="7">
        <v>1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Lab Check</vt:lpstr>
      <vt:lpstr>Lab Pasting</vt:lpstr>
      <vt:lpstr>STDs Template</vt:lpstr>
      <vt:lpstr>Plate 1</vt:lpstr>
      <vt:lpstr>Plate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Montgomery, Ashleigh</cp:lastModifiedBy>
  <dcterms:created xsi:type="dcterms:W3CDTF">2023-06-01T13:58:09Z</dcterms:created>
  <dcterms:modified xsi:type="dcterms:W3CDTF">2024-10-28T14:59:22Z</dcterms:modified>
</cp:coreProperties>
</file>