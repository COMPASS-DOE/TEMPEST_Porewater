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45" documentId="8_{68614D45-79BF-41F9-8EC3-D040101A138C}" xr6:coauthVersionLast="47" xr6:coauthVersionMax="47" xr10:uidLastSave="{D9FB94CA-66B1-4016-846B-AAA3AC2B580E}"/>
  <bookViews>
    <workbookView xWindow="28680" yWindow="-120" windowWidth="29040" windowHeight="15720" activeTab="2" xr2:uid="{7A5AC0CB-7800-4AAA-89A3-20445602A514}"/>
  </bookViews>
  <sheets>
    <sheet name="STDS CHK" sheetId="1" r:id="rId1"/>
    <sheet name="Pastes" sheetId="5" r:id="rId2"/>
    <sheet name="STDS" sheetId="2" r:id="rId3"/>
    <sheet name="Samples1" sheetId="3" r:id="rId4"/>
    <sheet name="Samples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3" i="1"/>
  <c r="B3" i="1"/>
  <c r="B12" i="1"/>
  <c r="R35" i="1"/>
  <c r="Q35" i="1"/>
  <c r="P35" i="1"/>
  <c r="O29" i="1"/>
  <c r="B29" i="1"/>
  <c r="O28" i="1"/>
  <c r="B28" i="1"/>
  <c r="O27" i="1"/>
  <c r="B27" i="1"/>
  <c r="O26" i="1"/>
  <c r="B26" i="1"/>
  <c r="O25" i="1"/>
  <c r="B25" i="1"/>
  <c r="O24" i="1"/>
  <c r="B24" i="1"/>
  <c r="O23" i="1"/>
  <c r="B23" i="1"/>
  <c r="O22" i="1"/>
  <c r="B22" i="1"/>
  <c r="O21" i="1"/>
  <c r="B21" i="1"/>
  <c r="O20" i="1"/>
  <c r="B20" i="1"/>
  <c r="O19" i="1"/>
  <c r="B19" i="1"/>
  <c r="O18" i="1"/>
  <c r="B18" i="1"/>
  <c r="O14" i="1"/>
  <c r="B14" i="1"/>
  <c r="O13" i="1"/>
  <c r="O12" i="1"/>
  <c r="O11" i="1"/>
  <c r="B11" i="1"/>
  <c r="O10" i="1"/>
  <c r="B10" i="1"/>
  <c r="O9" i="1"/>
  <c r="B9" i="1"/>
  <c r="O8" i="1"/>
  <c r="B8" i="1"/>
  <c r="O7" i="1"/>
  <c r="B7" i="1"/>
  <c r="O6" i="1"/>
  <c r="O5" i="1"/>
  <c r="B5" i="1"/>
  <c r="O4" i="1"/>
  <c r="B4" i="1"/>
  <c r="O3" i="1"/>
</calcChain>
</file>

<file path=xl/sharedStrings.xml><?xml version="1.0" encoding="utf-8"?>
<sst xmlns="http://schemas.openxmlformats.org/spreadsheetml/2006/main" count="493" uniqueCount="83">
  <si>
    <t xml:space="preserve">First Run of the Plate (Fe2 read) </t>
  </si>
  <si>
    <t xml:space="preserve">Second Run of the Plate (Fe Total read) </t>
  </si>
  <si>
    <t>FeII Stds</t>
  </si>
  <si>
    <t>Avg Abs</t>
  </si>
  <si>
    <t>Abs1</t>
  </si>
  <si>
    <t>Abs2</t>
  </si>
  <si>
    <t>As3</t>
  </si>
  <si>
    <t>FeIII Stds</t>
  </si>
  <si>
    <t>Red. Eff</t>
  </si>
  <si>
    <t>60 uM fe(III)</t>
  </si>
  <si>
    <t xml:space="preserve">&gt;85% </t>
  </si>
  <si>
    <t>E1</t>
  </si>
  <si>
    <t>E2</t>
  </si>
  <si>
    <t>E3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</si>
  <si>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</si>
  <si>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</si>
  <si>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</si>
  <si>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</si>
  <si>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</si>
  <si>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</si>
  <si>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</si>
  <si>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</si>
  <si>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</si>
  <si>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NA</t>
  </si>
  <si>
    <t>Dilutions</t>
  </si>
  <si>
    <t>Conc_uM</t>
  </si>
  <si>
    <t>0.5 M HCl</t>
  </si>
  <si>
    <t>STDS read1</t>
  </si>
  <si>
    <t>STDS read2</t>
  </si>
  <si>
    <t>FW_B4_20230607_1600</t>
  </si>
  <si>
    <t>FW_C3_20230607_1600</t>
  </si>
  <si>
    <t>FW_D5_20230607_1600</t>
  </si>
  <si>
    <t>FW_E3_20230607_1600</t>
  </si>
  <si>
    <t>FW_F4_20230607_1600</t>
  </si>
  <si>
    <t>FW_F6_20230607_1600</t>
  </si>
  <si>
    <t>FW_H3_20230607_1600</t>
  </si>
  <si>
    <t>Samples1 read1</t>
  </si>
  <si>
    <t>Samples2 read1</t>
  </si>
  <si>
    <t>FW_H6_20230607_1600</t>
  </si>
  <si>
    <t>FW_I5_20230607_1600</t>
  </si>
  <si>
    <t>SW_B4_20230607_1600</t>
  </si>
  <si>
    <t>SW_C3_20230607_1600</t>
  </si>
  <si>
    <t>SW_C3_20230607_1600_dup</t>
  </si>
  <si>
    <t>SW_C6_20230607_1600</t>
  </si>
  <si>
    <t>SW_C6_20230607_1600_dup</t>
  </si>
  <si>
    <t>SW_E3_20230607_1600</t>
  </si>
  <si>
    <t>Samples1 read2</t>
  </si>
  <si>
    <t>FW_SOURCE_20230607_1300</t>
  </si>
  <si>
    <t>FW_SOURCE_20230607_1519</t>
  </si>
  <si>
    <t>SW_SOURCE_20230607_1255</t>
  </si>
  <si>
    <t>SW_SOURCE_20230607_1515</t>
  </si>
  <si>
    <t>ESTUARY_SOURCE_20230607_1346</t>
  </si>
  <si>
    <t>ESTUARY_SOURCE_20230607_1346_dup</t>
  </si>
  <si>
    <t>ESTUARY_SOURCE_20230607_1700</t>
  </si>
  <si>
    <t>ESTUARY_SOURCE_20230607_1700_spk</t>
  </si>
  <si>
    <t>Samples2 read2</t>
  </si>
  <si>
    <t>SW_F4_20230607_1600</t>
  </si>
  <si>
    <t>SW_F6_20230607_1600</t>
  </si>
  <si>
    <t>SW_H3_20230607_1600</t>
  </si>
  <si>
    <t>SW_H6_20230607_1600</t>
  </si>
  <si>
    <t>SW_I5_20230607_1600</t>
  </si>
  <si>
    <t>Fe_2_60 uM</t>
  </si>
  <si>
    <t>Fe_2_45 uM</t>
  </si>
  <si>
    <t>Fe_2_30 uM</t>
  </si>
  <si>
    <t>Fe_2_18 uM</t>
  </si>
  <si>
    <t>Fe_2_9 uM</t>
  </si>
  <si>
    <t>Fe_2_6 uM</t>
  </si>
  <si>
    <t>Fe_2_3 uM</t>
  </si>
  <si>
    <t>Fe_2_0.6 uM</t>
  </si>
  <si>
    <t>Fe_2_100_uM</t>
  </si>
  <si>
    <t>Fe_2_250 uM</t>
  </si>
  <si>
    <t>Fe_2_500 uM</t>
  </si>
  <si>
    <t>Fe_3_60 uM</t>
  </si>
  <si>
    <t>Fe_3_45 uM</t>
  </si>
  <si>
    <t>Fe_3_30 uM</t>
  </si>
  <si>
    <t>Fe_3_18 uM</t>
  </si>
  <si>
    <t>Fe_3_9 uM</t>
  </si>
  <si>
    <t>Fe_3_6 uM</t>
  </si>
  <si>
    <t>Fe_3_3 uM</t>
  </si>
  <si>
    <t>Fe_3_0.6 uM</t>
  </si>
  <si>
    <t>Fe_3_100 uM</t>
  </si>
  <si>
    <t>Fe_3_250 uM</t>
  </si>
  <si>
    <t>Fe_3_500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</si>
</sst>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/>
    <xf numFmtId="2" fontId="0" fillId="6" borderId="0" xfId="0" applyNumberFormat="1" applyFill="1"/>
    <xf numFmtId="0" fontId="0" fillId="7" borderId="1" xfId="0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956302072410442"/>
                  <c:y val="-4.921393335580898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CHK'!$A$3:$A$10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CHK'!$B$3:$B$10</c:f>
              <c:numCache>
                <c:formatCode>General</c:formatCode>
                <c:ptCount val="8"/>
                <c:pt idx="0">
                  <c:v>0.14799999999999999</c:v>
                </c:pt>
                <c:pt idx="1">
                  <c:v>0.12933333333333333</c:v>
                </c:pt>
                <c:pt idx="2">
                  <c:v>0.104</c:v>
                </c:pt>
                <c:pt idx="3">
                  <c:v>7.2499999999999995E-2</c:v>
                </c:pt>
                <c:pt idx="4">
                  <c:v>5.5E-2</c:v>
                </c:pt>
                <c:pt idx="5">
                  <c:v>4.8666666666666671E-2</c:v>
                </c:pt>
                <c:pt idx="6">
                  <c:v>4.2666666666666665E-2</c:v>
                </c:pt>
                <c:pt idx="7">
                  <c:v>3.7666666666666661E-2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D-45CA-8EE4-15C16194D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256112"/>
        <c:axId val="1849256592"/>
      </c:scatterChart>
      <c:valAx>
        <c:axId val="184925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56592"/>
        <c:crosses val="autoZero"/>
        <c:crossBetween val="midCat"/>
      </c:valAx>
      <c:valAx>
        <c:axId val="18492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5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956302072410442"/>
                  <c:y val="-4.921393335580898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CHK'!$A$11:$A$13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'STDS CHK'!$B$11:$B$13</c:f>
              <c:numCache>
                <c:formatCode>General</c:formatCode>
                <c:ptCount val="3"/>
                <c:pt idx="0">
                  <c:v>0.25433333333333336</c:v>
                </c:pt>
                <c:pt idx="1">
                  <c:v>0.44299999999999995</c:v>
                </c:pt>
                <c:pt idx="2">
                  <c:v>0.91200000000000003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B3-412E-BFA6-C90EAD657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256112"/>
        <c:axId val="1849256592"/>
      </c:scatterChart>
      <c:valAx>
        <c:axId val="184925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56592"/>
        <c:crosses val="autoZero"/>
        <c:crossBetween val="midCat"/>
      </c:valAx>
      <c:valAx>
        <c:axId val="18492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25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413254387867329"/>
                  <c:y val="-5.290228997952870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CHK'!$N$18:$N$25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CHK'!$O$18:$O$25</c:f>
              <c:numCache>
                <c:formatCode>General</c:formatCode>
                <c:ptCount val="8"/>
                <c:pt idx="0">
                  <c:v>0.18166666666666664</c:v>
                </c:pt>
                <c:pt idx="1">
                  <c:v>0.13966666666666666</c:v>
                </c:pt>
                <c:pt idx="2">
                  <c:v>0.11</c:v>
                </c:pt>
                <c:pt idx="3">
                  <c:v>8.6000000000000007E-2</c:v>
                </c:pt>
                <c:pt idx="4">
                  <c:v>6.133333333333333E-2</c:v>
                </c:pt>
                <c:pt idx="5">
                  <c:v>5.3999999999999992E-2</c:v>
                </c:pt>
                <c:pt idx="6">
                  <c:v>4.6333333333333337E-2</c:v>
                </c:pt>
                <c:pt idx="7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9-4A21-938C-DCE5882AB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816928"/>
        <c:axId val="1932799168"/>
      </c:scatterChart>
      <c:valAx>
        <c:axId val="193281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99168"/>
        <c:crosses val="autoZero"/>
        <c:crossBetween val="midCat"/>
      </c:valAx>
      <c:valAx>
        <c:axId val="19327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1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413254387867329"/>
                  <c:y val="-5.290228997952870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('STDS CHK'!$N$26:$N$27,'STDS CHK'!$N$29)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0</c:v>
                </c:pt>
              </c:numCache>
            </c:numRef>
          </c:xVal>
          <c:yVal>
            <c:numRef>
              <c:f>('STDS CHK'!$O$26:$O$27,'STDS CHK'!$O$29)</c:f>
              <c:numCache>
                <c:formatCode>General</c:formatCode>
                <c:ptCount val="3"/>
                <c:pt idx="0">
                  <c:v>0.23933333333333331</c:v>
                </c:pt>
                <c:pt idx="1">
                  <c:v>0.29633333333333334</c:v>
                </c:pt>
                <c:pt idx="2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10-4F72-86FD-B7BC027FE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816928"/>
        <c:axId val="1932799168"/>
      </c:scatterChart>
      <c:valAx>
        <c:axId val="193281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99168"/>
        <c:crosses val="autoZero"/>
        <c:crossBetween val="midCat"/>
      </c:valAx>
      <c:valAx>
        <c:axId val="19327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1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2</xdr:row>
      <xdr:rowOff>17463</xdr:rowOff>
    </xdr:from>
    <xdr:to>
      <xdr:col>10</xdr:col>
      <xdr:colOff>57150</xdr:colOff>
      <xdr:row>14</xdr:row>
      <xdr:rowOff>168276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B210C-9155-D133-981C-0C7AF0FE8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17</xdr:row>
      <xdr:rowOff>76200</xdr:rowOff>
    </xdr:from>
    <xdr:to>
      <xdr:col>10</xdr:col>
      <xdr:colOff>419100</xdr:colOff>
      <xdr:row>30</xdr:row>
      <xdr:rowOff>46038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F8955-82F4-4FC9-8C8E-314446603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523874</xdr:colOff>
      <xdr:row>16</xdr:row>
      <xdr:rowOff>133350</xdr:rowOff>
    </xdr:from>
    <xdr:to>
      <xdr:col>23</xdr:col>
      <xdr:colOff>325436</xdr:colOff>
      <xdr:row>28</xdr:row>
      <xdr:rowOff>122237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2B445C-4515-324C-DBDB-C68AA696B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514350</xdr:colOff>
      <xdr:row>30</xdr:row>
      <xdr:rowOff>104775</xdr:rowOff>
    </xdr:from>
    <xdr:to>
      <xdr:col>23</xdr:col>
      <xdr:colOff>315912</xdr:colOff>
      <xdr:row>42</xdr:row>
      <xdr:rowOff>96837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4163A0-71CB-4C4E-A19A-0715C3A50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1D13-90BA-4A60-A730-F5D1011093E0}">
  <dimension ref="A1:Y35"/>
  <sheetViews>
    <sheetView topLeftCell="A10" workbookViewId="0">
      <selection activeCell="Q39" sqref="Q39"/>
    </sheetView>
  </sheetViews>
  <sheetFormatPr defaultRowHeight="14.5" x14ac:dyDescent="0.35"/>
  <cols>
    <col min="13" max="13" width="5.7265625" style="1" customWidth="1"/>
  </cols>
  <sheetData>
    <row r="1" spans="1:25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N1" s="28" t="s">
        <v>1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</row>
    <row r="3" spans="1:25" x14ac:dyDescent="0.35">
      <c r="A3">
        <v>60</v>
      </c>
      <c r="B3">
        <f>AVERAGE(C3:D3)</f>
        <v>0.14799999999999999</v>
      </c>
      <c r="C3" s="3">
        <v>0.14699999999999999</v>
      </c>
      <c r="D3" s="3">
        <v>0.14899999999999999</v>
      </c>
      <c r="E3" s="26">
        <v>0.123</v>
      </c>
      <c r="N3">
        <v>60</v>
      </c>
      <c r="O3">
        <f>AVERAGE(P3:R3)</f>
        <v>0.26033333333333331</v>
      </c>
      <c r="P3" s="3">
        <v>0.28199999999999997</v>
      </c>
      <c r="Q3" s="3">
        <v>0.26700000000000002</v>
      </c>
      <c r="R3" s="3">
        <v>0.23200000000000001</v>
      </c>
    </row>
    <row r="4" spans="1:25" x14ac:dyDescent="0.35">
      <c r="A4">
        <v>45</v>
      </c>
      <c r="B4">
        <f t="shared" ref="B4:B14" si="0">AVERAGE(C4:E4)</f>
        <v>0.12933333333333333</v>
      </c>
      <c r="C4" s="3">
        <v>0.115</v>
      </c>
      <c r="D4" s="3">
        <v>0.14000000000000001</v>
      </c>
      <c r="E4" s="3">
        <v>0.13300000000000001</v>
      </c>
      <c r="N4">
        <v>45</v>
      </c>
      <c r="O4">
        <f t="shared" ref="O4:O14" si="1">AVERAGE(P4:R4)</f>
        <v>0.21199999999999999</v>
      </c>
      <c r="P4" s="3">
        <v>0.20499999999999999</v>
      </c>
      <c r="Q4" s="3">
        <v>0.221</v>
      </c>
      <c r="R4" s="3">
        <v>0.21</v>
      </c>
    </row>
    <row r="5" spans="1:25" x14ac:dyDescent="0.35">
      <c r="A5">
        <v>30</v>
      </c>
      <c r="B5">
        <f t="shared" si="0"/>
        <v>0.104</v>
      </c>
      <c r="C5" s="3">
        <v>0.10299999999999999</v>
      </c>
      <c r="D5" s="3">
        <v>0.113</v>
      </c>
      <c r="E5" s="3">
        <v>9.6000000000000002E-2</v>
      </c>
      <c r="N5">
        <v>30</v>
      </c>
      <c r="O5">
        <f t="shared" si="1"/>
        <v>0.15933333333333333</v>
      </c>
      <c r="P5" s="3">
        <v>0.16200000000000001</v>
      </c>
      <c r="Q5" s="3">
        <v>0.16200000000000001</v>
      </c>
      <c r="R5" s="3">
        <v>0.154</v>
      </c>
    </row>
    <row r="6" spans="1:25" x14ac:dyDescent="0.35">
      <c r="A6">
        <v>18</v>
      </c>
      <c r="B6">
        <f>AVERAGE(C6:D6)</f>
        <v>7.2499999999999995E-2</v>
      </c>
      <c r="C6" s="3">
        <v>7.3999999999999996E-2</v>
      </c>
      <c r="D6" s="3">
        <v>7.0999999999999994E-2</v>
      </c>
      <c r="E6" s="26">
        <v>8.5000000000000006E-2</v>
      </c>
      <c r="N6">
        <v>18</v>
      </c>
      <c r="O6">
        <f t="shared" si="1"/>
        <v>0.11366666666666665</v>
      </c>
      <c r="P6" s="3">
        <v>0.113</v>
      </c>
      <c r="Q6" s="3">
        <v>0.107</v>
      </c>
      <c r="R6" s="3">
        <v>0.121</v>
      </c>
    </row>
    <row r="7" spans="1:25" x14ac:dyDescent="0.35">
      <c r="A7">
        <v>9</v>
      </c>
      <c r="B7">
        <f t="shared" si="0"/>
        <v>5.5E-2</v>
      </c>
      <c r="C7" s="3">
        <v>5.5E-2</v>
      </c>
      <c r="D7" s="3">
        <v>5.7000000000000002E-2</v>
      </c>
      <c r="E7" s="3">
        <v>5.2999999999999999E-2</v>
      </c>
      <c r="N7">
        <v>9</v>
      </c>
      <c r="O7">
        <f t="shared" si="1"/>
        <v>7.3666666666666658E-2</v>
      </c>
      <c r="P7" s="3">
        <v>7.2999999999999995E-2</v>
      </c>
      <c r="Q7" s="3">
        <v>7.6999999999999999E-2</v>
      </c>
      <c r="R7" s="3">
        <v>7.0999999999999994E-2</v>
      </c>
    </row>
    <row r="8" spans="1:25" x14ac:dyDescent="0.35">
      <c r="A8">
        <v>6</v>
      </c>
      <c r="B8">
        <f t="shared" si="0"/>
        <v>4.8666666666666671E-2</v>
      </c>
      <c r="C8" s="3">
        <v>4.7E-2</v>
      </c>
      <c r="D8" s="3">
        <v>0.05</v>
      </c>
      <c r="E8" s="3">
        <v>4.9000000000000002E-2</v>
      </c>
      <c r="N8">
        <v>6</v>
      </c>
      <c r="O8">
        <f t="shared" si="1"/>
        <v>6.1666666666666668E-2</v>
      </c>
      <c r="P8" s="3">
        <v>6.2E-2</v>
      </c>
      <c r="Q8" s="3">
        <v>6.0999999999999999E-2</v>
      </c>
      <c r="R8" s="3">
        <v>6.2E-2</v>
      </c>
    </row>
    <row r="9" spans="1:25" x14ac:dyDescent="0.35">
      <c r="A9">
        <v>3</v>
      </c>
      <c r="B9">
        <f t="shared" si="0"/>
        <v>4.2666666666666665E-2</v>
      </c>
      <c r="C9" s="3">
        <v>4.2999999999999997E-2</v>
      </c>
      <c r="D9" s="3">
        <v>4.2999999999999997E-2</v>
      </c>
      <c r="E9" s="3">
        <v>4.2000000000000003E-2</v>
      </c>
      <c r="N9">
        <v>3</v>
      </c>
      <c r="O9">
        <f t="shared" si="1"/>
        <v>5.000000000000001E-2</v>
      </c>
      <c r="P9" s="3">
        <v>5.0999999999999997E-2</v>
      </c>
      <c r="Q9" s="3">
        <v>0.05</v>
      </c>
      <c r="R9" s="3">
        <v>4.9000000000000002E-2</v>
      </c>
    </row>
    <row r="10" spans="1:25" x14ac:dyDescent="0.35">
      <c r="A10">
        <v>0.6</v>
      </c>
      <c r="B10">
        <f t="shared" si="0"/>
        <v>3.7666666666666661E-2</v>
      </c>
      <c r="C10" s="3">
        <v>3.7999999999999999E-2</v>
      </c>
      <c r="D10" s="3">
        <v>3.7999999999999999E-2</v>
      </c>
      <c r="E10" s="3">
        <v>3.6999999999999998E-2</v>
      </c>
      <c r="N10">
        <v>0.6</v>
      </c>
      <c r="O10">
        <f t="shared" si="1"/>
        <v>3.9333333333333331E-2</v>
      </c>
      <c r="P10" s="3">
        <v>3.9E-2</v>
      </c>
      <c r="Q10" s="3">
        <v>0.04</v>
      </c>
      <c r="R10" s="3">
        <v>3.9E-2</v>
      </c>
    </row>
    <row r="11" spans="1:25" x14ac:dyDescent="0.35">
      <c r="A11">
        <v>100</v>
      </c>
      <c r="B11">
        <f t="shared" si="0"/>
        <v>0.25433333333333336</v>
      </c>
      <c r="C11" s="3">
        <v>0.26400000000000001</v>
      </c>
      <c r="D11" s="3">
        <v>0.23899999999999999</v>
      </c>
      <c r="E11" s="3">
        <v>0.26</v>
      </c>
      <c r="N11">
        <v>100</v>
      </c>
      <c r="O11">
        <f t="shared" si="1"/>
        <v>0.39133333333333331</v>
      </c>
      <c r="P11" s="3">
        <v>0.42799999999999999</v>
      </c>
      <c r="Q11" s="3">
        <v>0.36699999999999999</v>
      </c>
      <c r="R11" s="3">
        <v>0.379</v>
      </c>
    </row>
    <row r="12" spans="1:25" x14ac:dyDescent="0.35">
      <c r="A12">
        <v>250</v>
      </c>
      <c r="B12">
        <f>AVERAGE(C12,D12)</f>
        <v>0.44299999999999995</v>
      </c>
      <c r="C12" s="3">
        <v>0.47399999999999998</v>
      </c>
      <c r="D12" s="3">
        <v>0.41199999999999998</v>
      </c>
      <c r="E12" s="3">
        <v>0.56499999999999995</v>
      </c>
      <c r="N12">
        <v>250</v>
      </c>
      <c r="O12">
        <f>AVERAGE(P12:R12)</f>
        <v>0.63800000000000001</v>
      </c>
      <c r="P12" s="3">
        <v>0.61099999999999999</v>
      </c>
      <c r="Q12" s="3">
        <v>0.59099999999999997</v>
      </c>
      <c r="R12" s="3">
        <v>0.71199999999999997</v>
      </c>
    </row>
    <row r="13" spans="1:25" x14ac:dyDescent="0.35">
      <c r="A13">
        <v>500</v>
      </c>
      <c r="B13">
        <f>AVERAGE(C13,E13)</f>
        <v>0.91200000000000003</v>
      </c>
      <c r="C13" s="3">
        <v>0.91800000000000004</v>
      </c>
      <c r="D13" s="26">
        <v>0.63200000000000001</v>
      </c>
      <c r="E13" s="3">
        <v>0.90600000000000003</v>
      </c>
      <c r="N13">
        <v>500</v>
      </c>
      <c r="O13">
        <f t="shared" si="1"/>
        <v>0.95266666666666666</v>
      </c>
      <c r="P13" s="3">
        <v>0.98099999999999998</v>
      </c>
      <c r="Q13" s="3">
        <v>0.91800000000000004</v>
      </c>
      <c r="R13" s="3">
        <v>0.95899999999999996</v>
      </c>
    </row>
    <row r="14" spans="1:25" x14ac:dyDescent="0.35">
      <c r="A14">
        <v>0</v>
      </c>
      <c r="B14">
        <f t="shared" si="0"/>
        <v>3.7666666666666661E-2</v>
      </c>
      <c r="C14" s="3">
        <v>3.6999999999999998E-2</v>
      </c>
      <c r="D14" s="3">
        <v>3.7999999999999999E-2</v>
      </c>
      <c r="E14" s="3">
        <v>3.7999999999999999E-2</v>
      </c>
      <c r="N14">
        <v>0</v>
      </c>
      <c r="O14">
        <f t="shared" si="1"/>
        <v>3.833333333333333E-2</v>
      </c>
      <c r="P14" s="3">
        <v>3.7999999999999999E-2</v>
      </c>
      <c r="Q14" s="3">
        <v>3.7999999999999999E-2</v>
      </c>
      <c r="R14" s="3">
        <v>3.9E-2</v>
      </c>
    </row>
    <row r="17" spans="1:18" x14ac:dyDescent="0.35">
      <c r="A17" s="2" t="s">
        <v>7</v>
      </c>
      <c r="B17" s="2" t="s">
        <v>3</v>
      </c>
      <c r="C17" s="2" t="s">
        <v>4</v>
      </c>
      <c r="D17" s="2" t="s">
        <v>5</v>
      </c>
      <c r="E17" s="2" t="s">
        <v>6</v>
      </c>
      <c r="N17" s="2" t="s">
        <v>7</v>
      </c>
      <c r="O17" s="2" t="s">
        <v>3</v>
      </c>
      <c r="P17" s="2" t="s">
        <v>4</v>
      </c>
      <c r="Q17" s="2" t="s">
        <v>5</v>
      </c>
      <c r="R17" s="2" t="s">
        <v>6</v>
      </c>
    </row>
    <row r="18" spans="1:18" x14ac:dyDescent="0.35">
      <c r="A18">
        <v>60</v>
      </c>
      <c r="B18">
        <f>AVERAGE(C18:E18)</f>
        <v>4.1000000000000002E-2</v>
      </c>
      <c r="C18" s="3">
        <v>4.1000000000000002E-2</v>
      </c>
      <c r="D18" s="3">
        <v>4.1000000000000002E-2</v>
      </c>
      <c r="E18" s="3">
        <v>4.1000000000000002E-2</v>
      </c>
      <c r="N18">
        <v>60</v>
      </c>
      <c r="O18">
        <f>AVERAGE(P18:R18)</f>
        <v>0.18166666666666664</v>
      </c>
      <c r="P18" s="3">
        <v>0.188</v>
      </c>
      <c r="Q18" s="3">
        <v>0.16500000000000001</v>
      </c>
      <c r="R18" s="3">
        <v>0.192</v>
      </c>
    </row>
    <row r="19" spans="1:18" x14ac:dyDescent="0.35">
      <c r="A19">
        <v>45</v>
      </c>
      <c r="B19">
        <f t="shared" ref="B19:B29" si="2">AVERAGE(C19:E19)</f>
        <v>4.0666666666666663E-2</v>
      </c>
      <c r="C19" s="3">
        <v>4.2000000000000003E-2</v>
      </c>
      <c r="D19" s="3">
        <v>0.04</v>
      </c>
      <c r="E19" s="3">
        <v>0.04</v>
      </c>
      <c r="N19">
        <v>45</v>
      </c>
      <c r="O19">
        <f t="shared" ref="O19:O29" si="3">AVERAGE(P19:R19)</f>
        <v>0.13966666666666666</v>
      </c>
      <c r="P19" s="3">
        <v>0.14199999999999999</v>
      </c>
      <c r="Q19" s="3">
        <v>0.14499999999999999</v>
      </c>
      <c r="R19" s="3">
        <v>0.13200000000000001</v>
      </c>
    </row>
    <row r="20" spans="1:18" x14ac:dyDescent="0.35">
      <c r="A20">
        <v>30</v>
      </c>
      <c r="B20">
        <f t="shared" si="2"/>
        <v>3.9666666666666663E-2</v>
      </c>
      <c r="C20" s="3">
        <v>3.9E-2</v>
      </c>
      <c r="D20" s="3">
        <v>0.04</v>
      </c>
      <c r="E20" s="3">
        <v>0.04</v>
      </c>
      <c r="N20">
        <v>30</v>
      </c>
      <c r="O20">
        <f t="shared" si="3"/>
        <v>0.11</v>
      </c>
      <c r="P20" s="3">
        <v>0.106</v>
      </c>
      <c r="Q20" s="3">
        <v>0.115</v>
      </c>
      <c r="R20" s="3">
        <v>0.109</v>
      </c>
    </row>
    <row r="21" spans="1:18" x14ac:dyDescent="0.35">
      <c r="A21">
        <v>18</v>
      </c>
      <c r="B21">
        <f t="shared" si="2"/>
        <v>3.9E-2</v>
      </c>
      <c r="C21" s="3">
        <v>3.9E-2</v>
      </c>
      <c r="D21" s="3">
        <v>3.9E-2</v>
      </c>
      <c r="E21" s="3">
        <v>3.9E-2</v>
      </c>
      <c r="N21">
        <v>18</v>
      </c>
      <c r="O21">
        <f t="shared" si="3"/>
        <v>8.6000000000000007E-2</v>
      </c>
      <c r="P21" s="3">
        <v>7.9000000000000001E-2</v>
      </c>
      <c r="Q21" s="3">
        <v>9.2999999999999999E-2</v>
      </c>
      <c r="R21" s="3">
        <v>8.5999999999999993E-2</v>
      </c>
    </row>
    <row r="22" spans="1:18" x14ac:dyDescent="0.35">
      <c r="A22">
        <v>9</v>
      </c>
      <c r="B22">
        <f t="shared" si="2"/>
        <v>3.7999999999999999E-2</v>
      </c>
      <c r="C22" s="3">
        <v>3.7999999999999999E-2</v>
      </c>
      <c r="D22" s="3">
        <v>3.7999999999999999E-2</v>
      </c>
      <c r="E22" s="3">
        <v>3.7999999999999999E-2</v>
      </c>
      <c r="N22">
        <v>9</v>
      </c>
      <c r="O22">
        <f t="shared" si="3"/>
        <v>6.133333333333333E-2</v>
      </c>
      <c r="P22" s="3">
        <v>6.2E-2</v>
      </c>
      <c r="Q22" s="3">
        <v>6.4000000000000001E-2</v>
      </c>
      <c r="R22" s="3">
        <v>5.8000000000000003E-2</v>
      </c>
    </row>
    <row r="23" spans="1:18" x14ac:dyDescent="0.35">
      <c r="A23">
        <v>6</v>
      </c>
      <c r="B23">
        <f t="shared" si="2"/>
        <v>3.9E-2</v>
      </c>
      <c r="C23" s="3">
        <v>3.7999999999999999E-2</v>
      </c>
      <c r="D23" s="3">
        <v>3.9E-2</v>
      </c>
      <c r="E23" s="3">
        <v>0.04</v>
      </c>
      <c r="N23">
        <v>6</v>
      </c>
      <c r="O23">
        <f t="shared" si="3"/>
        <v>5.3999999999999992E-2</v>
      </c>
      <c r="P23" s="3">
        <v>6.2E-2</v>
      </c>
      <c r="Q23" s="3">
        <v>5.3999999999999999E-2</v>
      </c>
      <c r="R23" s="3">
        <v>4.5999999999999999E-2</v>
      </c>
    </row>
    <row r="24" spans="1:18" x14ac:dyDescent="0.35">
      <c r="A24">
        <v>3</v>
      </c>
      <c r="B24">
        <f t="shared" si="2"/>
        <v>3.7666666666666661E-2</v>
      </c>
      <c r="C24" s="3">
        <v>3.7999999999999999E-2</v>
      </c>
      <c r="D24" s="3">
        <v>3.7999999999999999E-2</v>
      </c>
      <c r="E24" s="3">
        <v>3.6999999999999998E-2</v>
      </c>
      <c r="N24">
        <v>3</v>
      </c>
      <c r="O24">
        <f t="shared" si="3"/>
        <v>4.6333333333333337E-2</v>
      </c>
      <c r="P24" s="3">
        <v>4.5999999999999999E-2</v>
      </c>
      <c r="Q24" s="3">
        <v>4.5999999999999999E-2</v>
      </c>
      <c r="R24" s="3">
        <v>4.7E-2</v>
      </c>
    </row>
    <row r="25" spans="1:18" x14ac:dyDescent="0.35">
      <c r="A25">
        <v>0.6</v>
      </c>
      <c r="B25">
        <f t="shared" si="2"/>
        <v>3.833333333333333E-2</v>
      </c>
      <c r="C25" s="3">
        <v>3.9E-2</v>
      </c>
      <c r="D25" s="3">
        <v>3.6999999999999998E-2</v>
      </c>
      <c r="E25" s="3">
        <v>3.9E-2</v>
      </c>
      <c r="N25">
        <v>0.6</v>
      </c>
      <c r="O25">
        <f t="shared" si="3"/>
        <v>0.04</v>
      </c>
      <c r="P25" s="3">
        <v>0.04</v>
      </c>
      <c r="Q25" s="3">
        <v>3.9E-2</v>
      </c>
      <c r="R25" s="3">
        <v>4.1000000000000002E-2</v>
      </c>
    </row>
    <row r="26" spans="1:18" x14ac:dyDescent="0.35">
      <c r="A26">
        <v>100</v>
      </c>
      <c r="B26">
        <f t="shared" si="2"/>
        <v>4.1000000000000002E-2</v>
      </c>
      <c r="C26" s="3">
        <v>0.04</v>
      </c>
      <c r="D26" s="3">
        <v>4.1000000000000002E-2</v>
      </c>
      <c r="E26" s="3">
        <v>4.2000000000000003E-2</v>
      </c>
      <c r="N26">
        <v>100</v>
      </c>
      <c r="O26">
        <f t="shared" si="3"/>
        <v>0.23933333333333331</v>
      </c>
      <c r="P26" s="3">
        <v>0.22800000000000001</v>
      </c>
      <c r="Q26" s="3">
        <v>0.24399999999999999</v>
      </c>
      <c r="R26" s="3">
        <v>0.246</v>
      </c>
    </row>
    <row r="27" spans="1:18" x14ac:dyDescent="0.35">
      <c r="A27">
        <v>250</v>
      </c>
      <c r="B27">
        <f t="shared" si="2"/>
        <v>4.3000000000000003E-2</v>
      </c>
      <c r="C27" s="3">
        <v>4.2999999999999997E-2</v>
      </c>
      <c r="D27" s="3">
        <v>4.3999999999999997E-2</v>
      </c>
      <c r="E27" s="3">
        <v>4.2000000000000003E-2</v>
      </c>
      <c r="N27">
        <v>250</v>
      </c>
      <c r="O27">
        <f t="shared" si="3"/>
        <v>0.29633333333333334</v>
      </c>
      <c r="P27" s="3">
        <v>0.29299999999999998</v>
      </c>
      <c r="Q27" s="3">
        <v>0.32500000000000001</v>
      </c>
      <c r="R27" s="3">
        <v>0.27100000000000002</v>
      </c>
    </row>
    <row r="28" spans="1:18" x14ac:dyDescent="0.35">
      <c r="A28">
        <v>500</v>
      </c>
      <c r="B28">
        <f t="shared" si="2"/>
        <v>4.4000000000000004E-2</v>
      </c>
      <c r="C28" s="3">
        <v>4.2999999999999997E-2</v>
      </c>
      <c r="D28" s="3">
        <v>4.3999999999999997E-2</v>
      </c>
      <c r="E28" s="3">
        <v>4.4999999999999998E-2</v>
      </c>
      <c r="N28">
        <v>500</v>
      </c>
      <c r="O28">
        <f>AVERAGE(P28)</f>
        <v>0.26800000000000002</v>
      </c>
      <c r="P28" s="3">
        <v>0.26800000000000002</v>
      </c>
      <c r="Q28" s="3">
        <v>0.33300000000000002</v>
      </c>
      <c r="R28" s="3">
        <v>0.27</v>
      </c>
    </row>
    <row r="29" spans="1:18" x14ac:dyDescent="0.35">
      <c r="A29">
        <v>0</v>
      </c>
      <c r="B29">
        <f t="shared" si="2"/>
        <v>3.7333333333333329E-2</v>
      </c>
      <c r="C29" s="3">
        <v>3.6999999999999998E-2</v>
      </c>
      <c r="D29" s="3">
        <v>3.7999999999999999E-2</v>
      </c>
      <c r="E29" s="3">
        <v>3.6999999999999998E-2</v>
      </c>
      <c r="N29">
        <v>0</v>
      </c>
      <c r="O29">
        <f t="shared" si="3"/>
        <v>3.7999999999999999E-2</v>
      </c>
      <c r="P29" s="3">
        <v>3.7999999999999999E-2</v>
      </c>
      <c r="Q29" s="3">
        <v>3.7999999999999999E-2</v>
      </c>
      <c r="R29" s="3">
        <v>3.7999999999999999E-2</v>
      </c>
    </row>
    <row r="33" spans="15:18" x14ac:dyDescent="0.35">
      <c r="O33" s="4" t="s">
        <v>8</v>
      </c>
      <c r="P33" s="5" t="s">
        <v>9</v>
      </c>
      <c r="Q33" s="5"/>
      <c r="R33" s="5" t="s">
        <v>10</v>
      </c>
    </row>
    <row r="34" spans="15:18" x14ac:dyDescent="0.35">
      <c r="P34" t="s">
        <v>11</v>
      </c>
      <c r="Q34" t="s">
        <v>12</v>
      </c>
      <c r="R34" t="s">
        <v>13</v>
      </c>
    </row>
    <row r="35" spans="15:18" x14ac:dyDescent="0.35">
      <c r="P35" s="6">
        <f>((P18/0.8)/C3)*100</f>
        <v>159.8639455782313</v>
      </c>
      <c r="Q35" s="6">
        <f>((Q18/0.8)/D3)*100</f>
        <v>138.4228187919463</v>
      </c>
      <c r="R35" s="6">
        <f>((R18/0.8)/E3)*100</f>
        <v>195.1219512195122</v>
      </c>
    </row>
  </sheetData>
  <mergeCells count="2">
    <mergeCell ref="A1:L1"/>
    <mergeCell ref="N1:Y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D2F0-4BA4-4D33-970B-D9B70DB01B5E}">
  <dimension ref="A1:N59"/>
  <sheetViews>
    <sheetView topLeftCell="A31" workbookViewId="0">
      <selection activeCell="B52" sqref="B52:M59"/>
    </sheetView>
  </sheetViews>
  <sheetFormatPr defaultRowHeight="14.5" x14ac:dyDescent="0.35"/>
  <cols>
    <col min="1" max="1" width="11.81640625" customWidth="1"/>
  </cols>
  <sheetData>
    <row r="1" spans="1:14" x14ac:dyDescent="0.35">
      <c r="A1" s="7" t="s">
        <v>27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4" x14ac:dyDescent="0.35">
      <c r="A2" s="8" t="s">
        <v>14</v>
      </c>
      <c r="B2" s="3">
        <v>0.14699999999999999</v>
      </c>
      <c r="C2" s="3">
        <v>0.14899999999999999</v>
      </c>
      <c r="D2" s="3">
        <v>0.123</v>
      </c>
      <c r="E2" s="3">
        <v>0.26400000000000001</v>
      </c>
      <c r="F2" s="3">
        <v>0.23899999999999999</v>
      </c>
      <c r="G2" s="3">
        <v>0.26</v>
      </c>
      <c r="H2" s="3">
        <v>4.1000000000000002E-2</v>
      </c>
      <c r="I2" s="3">
        <v>4.1000000000000002E-2</v>
      </c>
      <c r="J2" s="3">
        <v>4.1000000000000002E-2</v>
      </c>
      <c r="K2" s="3">
        <v>0.04</v>
      </c>
      <c r="L2" s="3">
        <v>4.1000000000000002E-2</v>
      </c>
      <c r="M2" s="3">
        <v>4.2000000000000003E-2</v>
      </c>
      <c r="N2" s="25">
        <v>562</v>
      </c>
    </row>
    <row r="3" spans="1:14" x14ac:dyDescent="0.35">
      <c r="A3" s="8" t="s">
        <v>15</v>
      </c>
      <c r="B3" s="3">
        <v>0.115</v>
      </c>
      <c r="C3" s="3">
        <v>0.14000000000000001</v>
      </c>
      <c r="D3" s="3">
        <v>0.13300000000000001</v>
      </c>
      <c r="E3" s="3">
        <v>0.47399999999999998</v>
      </c>
      <c r="F3" s="3">
        <v>0.41199999999999998</v>
      </c>
      <c r="G3" s="3">
        <v>0.56499999999999995</v>
      </c>
      <c r="H3" s="3">
        <v>4.2000000000000003E-2</v>
      </c>
      <c r="I3" s="3">
        <v>0.04</v>
      </c>
      <c r="J3" s="3">
        <v>0.04</v>
      </c>
      <c r="K3" s="3">
        <v>4.2999999999999997E-2</v>
      </c>
      <c r="L3" s="3">
        <v>4.3999999999999997E-2</v>
      </c>
      <c r="M3" s="3">
        <v>4.2000000000000003E-2</v>
      </c>
      <c r="N3" s="25">
        <v>562</v>
      </c>
    </row>
    <row r="4" spans="1:14" x14ac:dyDescent="0.35">
      <c r="A4" s="8" t="s">
        <v>16</v>
      </c>
      <c r="B4" s="3">
        <v>0.10299999999999999</v>
      </c>
      <c r="C4" s="3">
        <v>0.113</v>
      </c>
      <c r="D4" s="3">
        <v>9.6000000000000002E-2</v>
      </c>
      <c r="E4" s="3">
        <v>0.91800000000000004</v>
      </c>
      <c r="F4" s="3">
        <v>0.63200000000000001</v>
      </c>
      <c r="G4" s="3">
        <v>0.90600000000000003</v>
      </c>
      <c r="H4" s="3">
        <v>3.9E-2</v>
      </c>
      <c r="I4" s="3">
        <v>0.04</v>
      </c>
      <c r="J4" s="3">
        <v>0.04</v>
      </c>
      <c r="K4" s="3">
        <v>4.2999999999999997E-2</v>
      </c>
      <c r="L4" s="3">
        <v>4.3999999999999997E-2</v>
      </c>
      <c r="M4" s="3">
        <v>4.4999999999999998E-2</v>
      </c>
      <c r="N4" s="25">
        <v>562</v>
      </c>
    </row>
    <row r="5" spans="1:14" x14ac:dyDescent="0.35">
      <c r="A5" s="8" t="s">
        <v>17</v>
      </c>
      <c r="B5" s="3">
        <v>7.3999999999999996E-2</v>
      </c>
      <c r="C5" s="3">
        <v>7.0999999999999994E-2</v>
      </c>
      <c r="D5" s="3">
        <v>8.5000000000000006E-2</v>
      </c>
      <c r="E5" s="3">
        <v>4.7E-2</v>
      </c>
      <c r="F5" s="3">
        <v>4.7E-2</v>
      </c>
      <c r="G5" s="3">
        <v>4.7E-2</v>
      </c>
      <c r="H5" s="3">
        <v>3.9E-2</v>
      </c>
      <c r="I5" s="3">
        <v>3.9E-2</v>
      </c>
      <c r="J5" s="3">
        <v>3.9E-2</v>
      </c>
      <c r="K5" s="3">
        <v>4.7E-2</v>
      </c>
      <c r="L5" s="3">
        <v>4.7E-2</v>
      </c>
      <c r="M5" s="3">
        <v>4.7E-2</v>
      </c>
      <c r="N5" s="25">
        <v>562</v>
      </c>
    </row>
    <row r="6" spans="1:14" x14ac:dyDescent="0.35">
      <c r="A6" s="8" t="s">
        <v>18</v>
      </c>
      <c r="B6" s="3">
        <v>5.5E-2</v>
      </c>
      <c r="C6" s="3">
        <v>5.7000000000000002E-2</v>
      </c>
      <c r="D6" s="3">
        <v>5.2999999999999999E-2</v>
      </c>
      <c r="E6" s="3">
        <v>4.7E-2</v>
      </c>
      <c r="F6" s="3">
        <v>4.7E-2</v>
      </c>
      <c r="G6" s="3">
        <v>4.7E-2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4.7E-2</v>
      </c>
      <c r="N6" s="25">
        <v>562</v>
      </c>
    </row>
    <row r="7" spans="1:14" x14ac:dyDescent="0.35">
      <c r="A7" s="8" t="s">
        <v>19</v>
      </c>
      <c r="B7" s="3">
        <v>4.7E-2</v>
      </c>
      <c r="C7" s="3">
        <v>0.05</v>
      </c>
      <c r="D7" s="3">
        <v>4.9000000000000002E-2</v>
      </c>
      <c r="E7" s="3">
        <v>4.7E-2</v>
      </c>
      <c r="F7" s="3">
        <v>4.7E-2</v>
      </c>
      <c r="G7" s="3">
        <v>4.7E-2</v>
      </c>
      <c r="H7" s="3">
        <v>3.7999999999999999E-2</v>
      </c>
      <c r="I7" s="3">
        <v>3.9E-2</v>
      </c>
      <c r="J7" s="3">
        <v>0.04</v>
      </c>
      <c r="K7" s="3">
        <v>4.7E-2</v>
      </c>
      <c r="L7" s="3">
        <v>4.7E-2</v>
      </c>
      <c r="M7" s="3">
        <v>4.8000000000000001E-2</v>
      </c>
      <c r="N7" s="25">
        <v>562</v>
      </c>
    </row>
    <row r="8" spans="1:14" x14ac:dyDescent="0.35">
      <c r="A8" s="8" t="s">
        <v>20</v>
      </c>
      <c r="B8" s="3">
        <v>4.2999999999999997E-2</v>
      </c>
      <c r="C8" s="3">
        <v>4.2999999999999997E-2</v>
      </c>
      <c r="D8" s="3">
        <v>4.2000000000000003E-2</v>
      </c>
      <c r="E8" s="3">
        <v>4.7E-2</v>
      </c>
      <c r="F8" s="3">
        <v>4.7E-2</v>
      </c>
      <c r="G8" s="3">
        <v>4.7E-2</v>
      </c>
      <c r="H8" s="3">
        <v>3.7999999999999999E-2</v>
      </c>
      <c r="I8" s="3">
        <v>3.7999999999999999E-2</v>
      </c>
      <c r="J8" s="3">
        <v>3.6999999999999998E-2</v>
      </c>
      <c r="K8" s="3">
        <v>4.7E-2</v>
      </c>
      <c r="L8" s="3">
        <v>4.7E-2</v>
      </c>
      <c r="M8" s="3">
        <v>4.7E-2</v>
      </c>
      <c r="N8" s="25">
        <v>562</v>
      </c>
    </row>
    <row r="9" spans="1:14" x14ac:dyDescent="0.35">
      <c r="A9" s="8" t="s">
        <v>21</v>
      </c>
      <c r="B9" s="3">
        <v>3.7999999999999999E-2</v>
      </c>
      <c r="C9" s="3">
        <v>3.7999999999999999E-2</v>
      </c>
      <c r="D9" s="3">
        <v>3.6999999999999998E-2</v>
      </c>
      <c r="E9" s="3">
        <v>3.6999999999999998E-2</v>
      </c>
      <c r="F9" s="3">
        <v>3.7999999999999999E-2</v>
      </c>
      <c r="G9" s="3">
        <v>3.7999999999999999E-2</v>
      </c>
      <c r="H9" s="3">
        <v>3.9E-2</v>
      </c>
      <c r="I9" s="3">
        <v>3.6999999999999998E-2</v>
      </c>
      <c r="J9" s="3">
        <v>3.9E-2</v>
      </c>
      <c r="K9" s="3">
        <v>3.6999999999999998E-2</v>
      </c>
      <c r="L9" s="3">
        <v>3.7999999999999999E-2</v>
      </c>
      <c r="M9" s="3">
        <v>3.6999999999999998E-2</v>
      </c>
      <c r="N9" s="25">
        <v>562</v>
      </c>
    </row>
    <row r="11" spans="1:14" x14ac:dyDescent="0.35">
      <c r="A11" s="7" t="s">
        <v>28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4" x14ac:dyDescent="0.35">
      <c r="A12" s="8" t="s">
        <v>14</v>
      </c>
      <c r="B12" s="3">
        <v>0.28199999999999997</v>
      </c>
      <c r="C12" s="3">
        <v>0.26700000000000002</v>
      </c>
      <c r="D12" s="3">
        <v>0.23200000000000001</v>
      </c>
      <c r="E12" s="3">
        <v>0.42799999999999999</v>
      </c>
      <c r="F12" s="3">
        <v>0.36699999999999999</v>
      </c>
      <c r="G12" s="3">
        <v>0.379</v>
      </c>
      <c r="H12" s="3">
        <v>0.188</v>
      </c>
      <c r="I12" s="3">
        <v>0.16500000000000001</v>
      </c>
      <c r="J12" s="3">
        <v>0.192</v>
      </c>
      <c r="K12" s="3">
        <v>0.22800000000000001</v>
      </c>
      <c r="L12" s="3">
        <v>0.24399999999999999</v>
      </c>
      <c r="M12" s="3">
        <v>0.246</v>
      </c>
      <c r="N12" s="25">
        <v>562</v>
      </c>
    </row>
    <row r="13" spans="1:14" x14ac:dyDescent="0.35">
      <c r="A13" s="8" t="s">
        <v>15</v>
      </c>
      <c r="B13" s="3">
        <v>0.20499999999999999</v>
      </c>
      <c r="C13" s="3">
        <v>0.221</v>
      </c>
      <c r="D13" s="3">
        <v>0.21</v>
      </c>
      <c r="E13" s="3">
        <v>0.61099999999999999</v>
      </c>
      <c r="F13" s="3">
        <v>0.59099999999999997</v>
      </c>
      <c r="G13" s="3">
        <v>0.71199999999999997</v>
      </c>
      <c r="H13" s="3">
        <v>0.14199999999999999</v>
      </c>
      <c r="I13" s="3">
        <v>0.14499999999999999</v>
      </c>
      <c r="J13" s="3">
        <v>0.13200000000000001</v>
      </c>
      <c r="K13" s="3">
        <v>0.29299999999999998</v>
      </c>
      <c r="L13" s="3">
        <v>0.32500000000000001</v>
      </c>
      <c r="M13" s="3">
        <v>0.27100000000000002</v>
      </c>
      <c r="N13" s="25">
        <v>562</v>
      </c>
    </row>
    <row r="14" spans="1:14" x14ac:dyDescent="0.35">
      <c r="A14" s="8" t="s">
        <v>16</v>
      </c>
      <c r="B14" s="3">
        <v>0.16200000000000001</v>
      </c>
      <c r="C14" s="3">
        <v>0.16200000000000001</v>
      </c>
      <c r="D14" s="3">
        <v>0.154</v>
      </c>
      <c r="E14" s="3">
        <v>0.98099999999999998</v>
      </c>
      <c r="F14" s="3">
        <v>0.91800000000000004</v>
      </c>
      <c r="G14" s="3">
        <v>0.95899999999999996</v>
      </c>
      <c r="H14" s="3">
        <v>0.106</v>
      </c>
      <c r="I14" s="3">
        <v>0.115</v>
      </c>
      <c r="J14" s="3">
        <v>0.109</v>
      </c>
      <c r="K14" s="3">
        <v>0.26800000000000002</v>
      </c>
      <c r="L14" s="3">
        <v>0.33300000000000002</v>
      </c>
      <c r="M14" s="3">
        <v>0.27</v>
      </c>
      <c r="N14" s="25">
        <v>562</v>
      </c>
    </row>
    <row r="15" spans="1:14" x14ac:dyDescent="0.35">
      <c r="A15" s="8" t="s">
        <v>17</v>
      </c>
      <c r="B15" s="3">
        <v>0.113</v>
      </c>
      <c r="C15" s="3">
        <v>0.107</v>
      </c>
      <c r="D15" s="3">
        <v>0.121</v>
      </c>
      <c r="E15" s="3">
        <v>4.7E-2</v>
      </c>
      <c r="F15" s="3">
        <v>4.8000000000000001E-2</v>
      </c>
      <c r="G15" s="3">
        <v>4.7E-2</v>
      </c>
      <c r="H15" s="3">
        <v>7.9000000000000001E-2</v>
      </c>
      <c r="I15" s="3">
        <v>9.2999999999999999E-2</v>
      </c>
      <c r="J15" s="3">
        <v>8.5999999999999993E-2</v>
      </c>
      <c r="K15" s="3">
        <v>4.7E-2</v>
      </c>
      <c r="L15" s="3">
        <v>4.8000000000000001E-2</v>
      </c>
      <c r="M15" s="3">
        <v>4.7E-2</v>
      </c>
      <c r="N15" s="25">
        <v>562</v>
      </c>
    </row>
    <row r="16" spans="1:14" x14ac:dyDescent="0.35">
      <c r="A16" s="8" t="s">
        <v>18</v>
      </c>
      <c r="B16" s="3">
        <v>7.2999999999999995E-2</v>
      </c>
      <c r="C16" s="3">
        <v>7.6999999999999999E-2</v>
      </c>
      <c r="D16" s="3">
        <v>7.0999999999999994E-2</v>
      </c>
      <c r="E16" s="3">
        <v>4.7E-2</v>
      </c>
      <c r="F16" s="3">
        <v>4.7E-2</v>
      </c>
      <c r="G16" s="3">
        <v>4.7E-2</v>
      </c>
      <c r="H16" s="3">
        <v>6.2E-2</v>
      </c>
      <c r="I16" s="3">
        <v>6.4000000000000001E-2</v>
      </c>
      <c r="J16" s="3">
        <v>5.8000000000000003E-2</v>
      </c>
      <c r="K16" s="3">
        <v>4.7E-2</v>
      </c>
      <c r="L16" s="3">
        <v>4.8000000000000001E-2</v>
      </c>
      <c r="M16" s="3">
        <v>4.7E-2</v>
      </c>
      <c r="N16" s="25">
        <v>562</v>
      </c>
    </row>
    <row r="17" spans="1:14" x14ac:dyDescent="0.35">
      <c r="A17" s="8" t="s">
        <v>19</v>
      </c>
      <c r="B17" s="3">
        <v>6.2E-2</v>
      </c>
      <c r="C17" s="3">
        <v>6.0999999999999999E-2</v>
      </c>
      <c r="D17" s="3">
        <v>6.2E-2</v>
      </c>
      <c r="E17" s="3">
        <v>4.7E-2</v>
      </c>
      <c r="F17" s="3">
        <v>4.7E-2</v>
      </c>
      <c r="G17" s="3">
        <v>4.7E-2</v>
      </c>
      <c r="H17" s="3">
        <v>6.2E-2</v>
      </c>
      <c r="I17" s="3">
        <v>5.3999999999999999E-2</v>
      </c>
      <c r="J17" s="3">
        <v>4.5999999999999999E-2</v>
      </c>
      <c r="K17" s="3">
        <v>4.7E-2</v>
      </c>
      <c r="L17" s="3">
        <v>4.7E-2</v>
      </c>
      <c r="M17" s="3">
        <v>4.8000000000000001E-2</v>
      </c>
      <c r="N17" s="25">
        <v>562</v>
      </c>
    </row>
    <row r="18" spans="1:14" x14ac:dyDescent="0.35">
      <c r="A18" s="8" t="s">
        <v>20</v>
      </c>
      <c r="B18" s="3">
        <v>5.0999999999999997E-2</v>
      </c>
      <c r="C18" s="3">
        <v>0.05</v>
      </c>
      <c r="D18" s="3">
        <v>4.9000000000000002E-2</v>
      </c>
      <c r="E18" s="3">
        <v>4.7E-2</v>
      </c>
      <c r="F18" s="3">
        <v>4.7E-2</v>
      </c>
      <c r="G18" s="3">
        <v>4.7E-2</v>
      </c>
      <c r="H18" s="3">
        <v>4.5999999999999999E-2</v>
      </c>
      <c r="I18" s="3">
        <v>4.5999999999999999E-2</v>
      </c>
      <c r="J18" s="3">
        <v>4.7E-2</v>
      </c>
      <c r="K18" s="3">
        <v>4.7E-2</v>
      </c>
      <c r="L18" s="3">
        <v>4.7E-2</v>
      </c>
      <c r="M18" s="3">
        <v>4.7E-2</v>
      </c>
      <c r="N18" s="25">
        <v>562</v>
      </c>
    </row>
    <row r="19" spans="1:14" x14ac:dyDescent="0.35">
      <c r="A19" s="8" t="s">
        <v>21</v>
      </c>
      <c r="B19" s="3">
        <v>3.9E-2</v>
      </c>
      <c r="C19" s="3">
        <v>0.04</v>
      </c>
      <c r="D19" s="3">
        <v>3.9E-2</v>
      </c>
      <c r="E19" s="3">
        <v>3.7999999999999999E-2</v>
      </c>
      <c r="F19" s="3">
        <v>3.7999999999999999E-2</v>
      </c>
      <c r="G19" s="3">
        <v>3.9E-2</v>
      </c>
      <c r="H19" s="3">
        <v>0.04</v>
      </c>
      <c r="I19" s="3">
        <v>3.9E-2</v>
      </c>
      <c r="J19" s="3">
        <v>4.1000000000000002E-2</v>
      </c>
      <c r="K19" s="3">
        <v>3.7999999999999999E-2</v>
      </c>
      <c r="L19" s="3">
        <v>3.7999999999999999E-2</v>
      </c>
      <c r="M19" s="3">
        <v>3.7999999999999999E-2</v>
      </c>
      <c r="N19" s="25">
        <v>562</v>
      </c>
    </row>
    <row r="21" spans="1:14" ht="29" x14ac:dyDescent="0.35">
      <c r="A21" s="7" t="s">
        <v>36</v>
      </c>
      <c r="B21" s="8">
        <v>1</v>
      </c>
      <c r="C21" s="8">
        <v>2</v>
      </c>
      <c r="D21" s="8">
        <v>3</v>
      </c>
      <c r="E21" s="8">
        <v>4</v>
      </c>
      <c r="F21" s="8">
        <v>5</v>
      </c>
      <c r="G21" s="8">
        <v>6</v>
      </c>
      <c r="H21" s="8">
        <v>7</v>
      </c>
      <c r="I21" s="8">
        <v>8</v>
      </c>
      <c r="J21" s="8">
        <v>9</v>
      </c>
      <c r="K21" s="8">
        <v>10</v>
      </c>
      <c r="L21" s="8">
        <v>11</v>
      </c>
      <c r="M21" s="8">
        <v>12</v>
      </c>
    </row>
    <row r="22" spans="1:14" x14ac:dyDescent="0.35">
      <c r="A22" s="8" t="s">
        <v>14</v>
      </c>
      <c r="B22" s="3">
        <v>0.183</v>
      </c>
      <c r="C22" s="3">
        <v>0.182</v>
      </c>
      <c r="D22" s="3">
        <v>0.17799999999999999</v>
      </c>
      <c r="E22" s="3">
        <v>4.1000000000000002E-2</v>
      </c>
      <c r="F22" s="3">
        <v>4.1000000000000002E-2</v>
      </c>
      <c r="G22" s="3">
        <v>4.1000000000000002E-2</v>
      </c>
      <c r="H22" s="3">
        <v>4.2000000000000003E-2</v>
      </c>
      <c r="I22" s="3">
        <v>4.2000000000000003E-2</v>
      </c>
      <c r="J22" s="3">
        <v>0.04</v>
      </c>
      <c r="K22" s="3">
        <v>0.04</v>
      </c>
      <c r="L22" s="3">
        <v>3.7999999999999999E-2</v>
      </c>
      <c r="M22" s="3">
        <v>0.04</v>
      </c>
      <c r="N22" s="25">
        <v>562</v>
      </c>
    </row>
    <row r="23" spans="1:14" x14ac:dyDescent="0.35">
      <c r="A23" s="8" t="s">
        <v>15</v>
      </c>
      <c r="B23" s="3">
        <v>5.3999999999999999E-2</v>
      </c>
      <c r="C23" s="3">
        <v>5.8000000000000003E-2</v>
      </c>
      <c r="D23" s="3">
        <v>5.3999999999999999E-2</v>
      </c>
      <c r="E23" s="3">
        <v>4.2000000000000003E-2</v>
      </c>
      <c r="F23" s="3">
        <v>4.2999999999999997E-2</v>
      </c>
      <c r="G23" s="3">
        <v>4.1000000000000002E-2</v>
      </c>
      <c r="H23" s="3">
        <v>4.9000000000000002E-2</v>
      </c>
      <c r="I23" s="3">
        <v>4.8000000000000001E-2</v>
      </c>
      <c r="J23" s="3">
        <v>4.8000000000000001E-2</v>
      </c>
      <c r="K23" s="3">
        <v>4.1000000000000002E-2</v>
      </c>
      <c r="L23" s="3">
        <v>4.1000000000000002E-2</v>
      </c>
      <c r="M23" s="3">
        <v>4.2000000000000003E-2</v>
      </c>
      <c r="N23" s="25">
        <v>562</v>
      </c>
    </row>
    <row r="24" spans="1:14" x14ac:dyDescent="0.35">
      <c r="A24" s="8" t="s">
        <v>16</v>
      </c>
      <c r="B24" s="3">
        <v>3.6999999999999998E-2</v>
      </c>
      <c r="C24" s="3">
        <v>3.7999999999999999E-2</v>
      </c>
      <c r="D24" s="3">
        <v>3.6999999999999998E-2</v>
      </c>
      <c r="E24" s="3">
        <v>4.2999999999999997E-2</v>
      </c>
      <c r="F24" s="3">
        <v>4.2000000000000003E-2</v>
      </c>
      <c r="G24" s="3">
        <v>4.1000000000000002E-2</v>
      </c>
      <c r="H24" s="3">
        <v>6.6000000000000003E-2</v>
      </c>
      <c r="I24" s="3">
        <v>6.4000000000000001E-2</v>
      </c>
      <c r="J24" s="3">
        <v>6.5000000000000002E-2</v>
      </c>
      <c r="K24" s="3">
        <v>0.04</v>
      </c>
      <c r="L24" s="3">
        <v>5.0999999999999997E-2</v>
      </c>
      <c r="M24" s="3">
        <v>4.2000000000000003E-2</v>
      </c>
      <c r="N24" s="25">
        <v>562</v>
      </c>
    </row>
    <row r="25" spans="1:14" x14ac:dyDescent="0.35">
      <c r="A25" s="8" t="s">
        <v>17</v>
      </c>
      <c r="B25" s="3">
        <v>3.7999999999999999E-2</v>
      </c>
      <c r="C25" s="3">
        <v>3.7999999999999999E-2</v>
      </c>
      <c r="D25" s="3">
        <v>3.6999999999999998E-2</v>
      </c>
      <c r="E25" s="3">
        <v>4.1000000000000002E-2</v>
      </c>
      <c r="F25" s="3">
        <v>4.7E-2</v>
      </c>
      <c r="G25" s="3">
        <v>0.04</v>
      </c>
      <c r="H25" s="3">
        <v>5.5E-2</v>
      </c>
      <c r="I25" s="3">
        <v>6.4000000000000001E-2</v>
      </c>
      <c r="J25" s="3">
        <v>6.3E-2</v>
      </c>
      <c r="K25" s="3">
        <v>4.2999999999999997E-2</v>
      </c>
      <c r="L25" s="3">
        <v>4.4999999999999998E-2</v>
      </c>
      <c r="M25" s="3">
        <v>4.2999999999999997E-2</v>
      </c>
      <c r="N25" s="25">
        <v>562</v>
      </c>
    </row>
    <row r="26" spans="1:14" x14ac:dyDescent="0.35">
      <c r="A26" s="8" t="s">
        <v>18</v>
      </c>
      <c r="B26" s="3">
        <v>0.04</v>
      </c>
      <c r="C26" s="3">
        <v>4.1000000000000002E-2</v>
      </c>
      <c r="D26" s="3">
        <v>0.04</v>
      </c>
      <c r="E26" s="3">
        <v>4.1000000000000002E-2</v>
      </c>
      <c r="F26" s="3">
        <v>4.2000000000000003E-2</v>
      </c>
      <c r="G26" s="3">
        <v>4.2000000000000003E-2</v>
      </c>
      <c r="H26" s="3">
        <v>7.2999999999999995E-2</v>
      </c>
      <c r="I26" s="3">
        <v>7.0000000000000007E-2</v>
      </c>
      <c r="J26" s="3">
        <v>6.2E-2</v>
      </c>
      <c r="K26" s="3">
        <v>5.1999999999999998E-2</v>
      </c>
      <c r="L26" s="3">
        <v>5.0999999999999997E-2</v>
      </c>
      <c r="M26" s="3">
        <v>5.0999999999999997E-2</v>
      </c>
      <c r="N26" s="25">
        <v>562</v>
      </c>
    </row>
    <row r="27" spans="1:14" x14ac:dyDescent="0.35">
      <c r="A27" s="8" t="s">
        <v>19</v>
      </c>
      <c r="B27" s="3">
        <v>3.9E-2</v>
      </c>
      <c r="C27" s="3">
        <v>3.7999999999999999E-2</v>
      </c>
      <c r="D27" s="3">
        <v>3.7999999999999999E-2</v>
      </c>
      <c r="E27" s="3">
        <v>4.4999999999999998E-2</v>
      </c>
      <c r="F27" s="3">
        <v>4.2000000000000003E-2</v>
      </c>
      <c r="G27" s="3">
        <v>4.1000000000000002E-2</v>
      </c>
      <c r="H27" s="3">
        <v>6.0999999999999999E-2</v>
      </c>
      <c r="I27" s="3">
        <v>5.8999999999999997E-2</v>
      </c>
      <c r="J27" s="3">
        <v>5.8999999999999997E-2</v>
      </c>
      <c r="K27" s="3">
        <v>4.7E-2</v>
      </c>
      <c r="L27" s="3">
        <v>4.7E-2</v>
      </c>
      <c r="M27" s="3">
        <v>4.7E-2</v>
      </c>
      <c r="N27" s="25">
        <v>562</v>
      </c>
    </row>
    <row r="28" spans="1:14" x14ac:dyDescent="0.35">
      <c r="A28" s="8" t="s">
        <v>20</v>
      </c>
      <c r="B28" s="3">
        <v>3.7999999999999999E-2</v>
      </c>
      <c r="C28" s="3">
        <v>3.6999999999999998E-2</v>
      </c>
      <c r="D28" s="3">
        <v>3.6999999999999998E-2</v>
      </c>
      <c r="E28" s="3">
        <v>4.1000000000000002E-2</v>
      </c>
      <c r="F28" s="3">
        <v>4.1000000000000002E-2</v>
      </c>
      <c r="G28" s="3">
        <v>4.1000000000000002E-2</v>
      </c>
      <c r="H28" s="3">
        <v>5.8999999999999997E-2</v>
      </c>
      <c r="I28" s="3">
        <v>6.3E-2</v>
      </c>
      <c r="J28" s="3">
        <v>6.4000000000000001E-2</v>
      </c>
      <c r="K28" s="3">
        <v>4.7E-2</v>
      </c>
      <c r="L28" s="3">
        <v>4.7E-2</v>
      </c>
      <c r="M28" s="3">
        <v>4.7E-2</v>
      </c>
      <c r="N28" s="25">
        <v>562</v>
      </c>
    </row>
    <row r="29" spans="1:14" x14ac:dyDescent="0.35">
      <c r="A29" s="8" t="s">
        <v>21</v>
      </c>
      <c r="B29" s="3">
        <v>3.7999999999999999E-2</v>
      </c>
      <c r="C29" s="3">
        <v>3.6999999999999998E-2</v>
      </c>
      <c r="D29" s="3">
        <v>3.7999999999999999E-2</v>
      </c>
      <c r="E29" s="3">
        <v>4.3999999999999997E-2</v>
      </c>
      <c r="F29" s="3">
        <v>4.2999999999999997E-2</v>
      </c>
      <c r="G29" s="3">
        <v>4.2000000000000003E-2</v>
      </c>
      <c r="H29" s="3">
        <v>0.11700000000000001</v>
      </c>
      <c r="I29" s="3">
        <v>0.15</v>
      </c>
      <c r="J29" s="3">
        <v>0.14899999999999999</v>
      </c>
      <c r="K29" s="3">
        <v>4.7E-2</v>
      </c>
      <c r="L29" s="3">
        <v>4.7E-2</v>
      </c>
      <c r="M29" s="3">
        <v>4.7E-2</v>
      </c>
      <c r="N29" s="25">
        <v>562</v>
      </c>
    </row>
    <row r="31" spans="1:14" ht="29" x14ac:dyDescent="0.35">
      <c r="A31" s="7" t="s">
        <v>37</v>
      </c>
      <c r="B31" s="8">
        <v>1</v>
      </c>
      <c r="C31" s="8">
        <v>2</v>
      </c>
      <c r="D31" s="8">
        <v>3</v>
      </c>
      <c r="E31" s="8">
        <v>4</v>
      </c>
      <c r="F31" s="8">
        <v>5</v>
      </c>
      <c r="G31" s="8">
        <v>6</v>
      </c>
      <c r="H31" s="8">
        <v>7</v>
      </c>
      <c r="I31" s="8">
        <v>8</v>
      </c>
      <c r="J31" s="8">
        <v>9</v>
      </c>
      <c r="K31" s="8">
        <v>10</v>
      </c>
      <c r="L31" s="8">
        <v>11</v>
      </c>
      <c r="M31" s="8">
        <v>12</v>
      </c>
    </row>
    <row r="32" spans="1:14" x14ac:dyDescent="0.35">
      <c r="A32" s="8" t="s">
        <v>14</v>
      </c>
      <c r="B32" s="3">
        <v>0.187</v>
      </c>
      <c r="C32" s="3">
        <v>0.214</v>
      </c>
      <c r="D32" s="3">
        <v>0.16</v>
      </c>
      <c r="E32" s="3">
        <v>3.6999999999999998E-2</v>
      </c>
      <c r="F32" s="3">
        <v>3.6999999999999998E-2</v>
      </c>
      <c r="G32" s="3">
        <v>3.7999999999999999E-2</v>
      </c>
      <c r="H32" s="3">
        <v>4.7E-2</v>
      </c>
      <c r="I32" s="3">
        <v>4.8000000000000001E-2</v>
      </c>
      <c r="J32" s="3">
        <v>4.7E-2</v>
      </c>
      <c r="K32" s="3">
        <v>4.7E-2</v>
      </c>
      <c r="L32" s="3">
        <v>4.8000000000000001E-2</v>
      </c>
      <c r="M32" s="3">
        <v>4.7E-2</v>
      </c>
      <c r="N32" s="25">
        <v>562</v>
      </c>
    </row>
    <row r="33" spans="1:14" x14ac:dyDescent="0.35">
      <c r="A33" s="8" t="s">
        <v>15</v>
      </c>
      <c r="B33" s="3">
        <v>5.3999999999999999E-2</v>
      </c>
      <c r="C33" s="3">
        <v>0.06</v>
      </c>
      <c r="D33" s="3">
        <v>5.6000000000000001E-2</v>
      </c>
      <c r="E33" s="3">
        <v>3.7999999999999999E-2</v>
      </c>
      <c r="F33" s="3">
        <v>3.9E-2</v>
      </c>
      <c r="G33" s="3">
        <v>3.7999999999999999E-2</v>
      </c>
      <c r="H33" s="3">
        <v>4.8000000000000001E-2</v>
      </c>
      <c r="I33" s="3">
        <v>4.7E-2</v>
      </c>
      <c r="J33" s="3">
        <v>4.7E-2</v>
      </c>
      <c r="K33" s="3">
        <v>4.8000000000000001E-2</v>
      </c>
      <c r="L33" s="3">
        <v>4.7E-2</v>
      </c>
      <c r="M33" s="3">
        <v>4.7E-2</v>
      </c>
      <c r="N33" s="25">
        <v>562</v>
      </c>
    </row>
    <row r="34" spans="1:14" x14ac:dyDescent="0.35">
      <c r="A34" s="8" t="s">
        <v>16</v>
      </c>
      <c r="B34" s="3">
        <v>3.7999999999999999E-2</v>
      </c>
      <c r="C34" s="3">
        <v>3.7999999999999999E-2</v>
      </c>
      <c r="D34" s="3">
        <v>3.7999999999999999E-2</v>
      </c>
      <c r="E34" s="3">
        <v>4.4999999999999998E-2</v>
      </c>
      <c r="F34" s="3">
        <v>4.5999999999999999E-2</v>
      </c>
      <c r="G34" s="3">
        <v>4.4999999999999998E-2</v>
      </c>
      <c r="H34" s="3">
        <v>4.7E-2</v>
      </c>
      <c r="I34" s="3">
        <v>4.7E-2</v>
      </c>
      <c r="J34" s="3">
        <v>4.7E-2</v>
      </c>
      <c r="K34" s="3">
        <v>4.7E-2</v>
      </c>
      <c r="L34" s="3">
        <v>4.7E-2</v>
      </c>
      <c r="M34" s="3">
        <v>4.7E-2</v>
      </c>
      <c r="N34" s="25">
        <v>562</v>
      </c>
    </row>
    <row r="35" spans="1:14" x14ac:dyDescent="0.35">
      <c r="A35" s="8" t="s">
        <v>17</v>
      </c>
      <c r="B35" s="3">
        <v>3.7999999999999999E-2</v>
      </c>
      <c r="C35" s="3">
        <v>3.7999999999999999E-2</v>
      </c>
      <c r="D35" s="3">
        <v>3.7999999999999999E-2</v>
      </c>
      <c r="E35" s="3">
        <v>4.5999999999999999E-2</v>
      </c>
      <c r="F35" s="3">
        <v>4.3999999999999997E-2</v>
      </c>
      <c r="G35" s="3">
        <v>4.3999999999999997E-2</v>
      </c>
      <c r="H35" s="3">
        <v>4.7E-2</v>
      </c>
      <c r="I35" s="3">
        <v>4.7E-2</v>
      </c>
      <c r="J35" s="3">
        <v>4.8000000000000001E-2</v>
      </c>
      <c r="K35" s="3">
        <v>4.7E-2</v>
      </c>
      <c r="L35" s="3">
        <v>4.7E-2</v>
      </c>
      <c r="M35" s="3">
        <v>4.7E-2</v>
      </c>
      <c r="N35" s="25">
        <v>562</v>
      </c>
    </row>
    <row r="36" spans="1:14" x14ac:dyDescent="0.35">
      <c r="A36" s="8" t="s">
        <v>18</v>
      </c>
      <c r="B36" s="3">
        <v>4.1000000000000002E-2</v>
      </c>
      <c r="C36" s="3">
        <v>4.1000000000000002E-2</v>
      </c>
      <c r="D36" s="3">
        <v>0.04</v>
      </c>
      <c r="E36" s="3">
        <v>4.5999999999999999E-2</v>
      </c>
      <c r="F36" s="3">
        <v>4.4999999999999998E-2</v>
      </c>
      <c r="G36" s="3">
        <v>4.4999999999999998E-2</v>
      </c>
      <c r="H36" s="3">
        <v>4.7E-2</v>
      </c>
      <c r="I36" s="3">
        <v>4.7E-2</v>
      </c>
      <c r="J36" s="3">
        <v>4.7E-2</v>
      </c>
      <c r="K36" s="3">
        <v>4.7E-2</v>
      </c>
      <c r="L36" s="3">
        <v>4.7E-2</v>
      </c>
      <c r="M36" s="3">
        <v>4.8000000000000001E-2</v>
      </c>
      <c r="N36" s="25">
        <v>562</v>
      </c>
    </row>
    <row r="37" spans="1:14" x14ac:dyDescent="0.35">
      <c r="A37" s="8" t="s">
        <v>19</v>
      </c>
      <c r="B37" s="3">
        <v>3.9E-2</v>
      </c>
      <c r="C37" s="3">
        <v>3.9E-2</v>
      </c>
      <c r="D37" s="3">
        <v>3.7999999999999999E-2</v>
      </c>
      <c r="E37" s="3">
        <v>4.4999999999999998E-2</v>
      </c>
      <c r="F37" s="3">
        <v>4.5999999999999999E-2</v>
      </c>
      <c r="G37" s="3">
        <v>4.4999999999999998E-2</v>
      </c>
      <c r="H37" s="3">
        <v>4.7E-2</v>
      </c>
      <c r="I37" s="3">
        <v>4.7E-2</v>
      </c>
      <c r="J37" s="3">
        <v>4.7E-2</v>
      </c>
      <c r="K37" s="3">
        <v>4.9000000000000002E-2</v>
      </c>
      <c r="L37" s="3">
        <v>4.7E-2</v>
      </c>
      <c r="M37" s="3">
        <v>4.7E-2</v>
      </c>
      <c r="N37" s="25">
        <v>562</v>
      </c>
    </row>
    <row r="38" spans="1:14" x14ac:dyDescent="0.35">
      <c r="A38" s="8" t="s">
        <v>20</v>
      </c>
      <c r="B38" s="3">
        <v>3.7999999999999999E-2</v>
      </c>
      <c r="C38" s="3">
        <v>3.7999999999999999E-2</v>
      </c>
      <c r="D38" s="3">
        <v>3.7999999999999999E-2</v>
      </c>
      <c r="E38" s="3">
        <v>4.3999999999999997E-2</v>
      </c>
      <c r="F38" s="3">
        <v>4.3999999999999997E-2</v>
      </c>
      <c r="G38" s="3">
        <v>4.3999999999999997E-2</v>
      </c>
      <c r="H38" s="3">
        <v>4.7E-2</v>
      </c>
      <c r="I38" s="3">
        <v>4.7E-2</v>
      </c>
      <c r="J38" s="3">
        <v>4.7E-2</v>
      </c>
      <c r="K38" s="3">
        <v>4.7E-2</v>
      </c>
      <c r="L38" s="3">
        <v>4.7E-2</v>
      </c>
      <c r="M38" s="3">
        <v>4.7E-2</v>
      </c>
      <c r="N38" s="25">
        <v>562</v>
      </c>
    </row>
    <row r="39" spans="1:14" x14ac:dyDescent="0.35">
      <c r="A39" s="8" t="s">
        <v>21</v>
      </c>
      <c r="B39" s="3">
        <v>3.7999999999999999E-2</v>
      </c>
      <c r="C39" s="3">
        <v>3.7999999999999999E-2</v>
      </c>
      <c r="D39" s="3">
        <v>3.6999999999999998E-2</v>
      </c>
      <c r="E39" s="3">
        <v>0.14000000000000001</v>
      </c>
      <c r="F39" s="3">
        <v>0.14899999999999999</v>
      </c>
      <c r="G39" s="3">
        <v>0.14499999999999999</v>
      </c>
      <c r="H39" s="3">
        <v>4.7E-2</v>
      </c>
      <c r="I39" s="3">
        <v>4.7E-2</v>
      </c>
      <c r="J39" s="3">
        <v>4.7E-2</v>
      </c>
      <c r="K39" s="3">
        <v>4.7E-2</v>
      </c>
      <c r="L39" s="3">
        <v>4.7E-2</v>
      </c>
      <c r="M39" s="3">
        <v>4.7E-2</v>
      </c>
      <c r="N39" s="25">
        <v>562</v>
      </c>
    </row>
    <row r="41" spans="1:14" ht="29" x14ac:dyDescent="0.35">
      <c r="A41" s="7" t="s">
        <v>46</v>
      </c>
      <c r="B41" s="8">
        <v>1</v>
      </c>
      <c r="C41" s="8">
        <v>2</v>
      </c>
      <c r="D41" s="8">
        <v>3</v>
      </c>
      <c r="E41" s="8">
        <v>4</v>
      </c>
      <c r="F41" s="8">
        <v>5</v>
      </c>
      <c r="G41" s="8">
        <v>6</v>
      </c>
      <c r="H41" s="8">
        <v>7</v>
      </c>
      <c r="I41" s="8">
        <v>8</v>
      </c>
      <c r="J41" s="8">
        <v>9</v>
      </c>
      <c r="K41" s="8">
        <v>10</v>
      </c>
      <c r="L41" s="8">
        <v>11</v>
      </c>
      <c r="M41" s="8">
        <v>12</v>
      </c>
    </row>
    <row r="42" spans="1:14" x14ac:dyDescent="0.35">
      <c r="A42" s="8" t="s">
        <v>14</v>
      </c>
      <c r="B42" s="3">
        <v>0.31900000000000001</v>
      </c>
      <c r="C42" s="3">
        <v>0.30399999999999999</v>
      </c>
      <c r="D42" s="3">
        <v>0.28399999999999997</v>
      </c>
      <c r="E42" s="3">
        <v>4.2999999999999997E-2</v>
      </c>
      <c r="F42" s="3">
        <v>4.2999999999999997E-2</v>
      </c>
      <c r="G42" s="3">
        <v>4.3999999999999997E-2</v>
      </c>
      <c r="H42" s="3">
        <v>4.3999999999999997E-2</v>
      </c>
      <c r="I42" s="3">
        <v>4.2999999999999997E-2</v>
      </c>
      <c r="J42" s="3">
        <v>4.2000000000000003E-2</v>
      </c>
      <c r="K42" s="3">
        <v>4.2000000000000003E-2</v>
      </c>
      <c r="L42" s="3">
        <v>4.1000000000000002E-2</v>
      </c>
      <c r="M42" s="3">
        <v>4.1000000000000002E-2</v>
      </c>
      <c r="N42" s="25">
        <v>562</v>
      </c>
    </row>
    <row r="43" spans="1:14" x14ac:dyDescent="0.35">
      <c r="A43" s="8" t="s">
        <v>15</v>
      </c>
      <c r="B43" s="3">
        <v>7.2999999999999995E-2</v>
      </c>
      <c r="C43" s="3">
        <v>8.2000000000000003E-2</v>
      </c>
      <c r="D43" s="3">
        <v>7.2999999999999995E-2</v>
      </c>
      <c r="E43" s="3">
        <v>4.2999999999999997E-2</v>
      </c>
      <c r="F43" s="3">
        <v>4.4999999999999998E-2</v>
      </c>
      <c r="G43" s="3">
        <v>4.3999999999999997E-2</v>
      </c>
      <c r="H43" s="3">
        <v>5.1999999999999998E-2</v>
      </c>
      <c r="I43" s="3">
        <v>5.0999999999999997E-2</v>
      </c>
      <c r="J43" s="3">
        <v>0.05</v>
      </c>
      <c r="K43" s="3">
        <v>4.3999999999999997E-2</v>
      </c>
      <c r="L43" s="3">
        <v>4.3999999999999997E-2</v>
      </c>
      <c r="M43" s="3">
        <v>4.2999999999999997E-2</v>
      </c>
      <c r="N43" s="25">
        <v>562</v>
      </c>
    </row>
    <row r="44" spans="1:14" x14ac:dyDescent="0.35">
      <c r="A44" s="8" t="s">
        <v>16</v>
      </c>
      <c r="B44" s="3">
        <v>0.04</v>
      </c>
      <c r="C44" s="3">
        <v>0.04</v>
      </c>
      <c r="D44" s="3">
        <v>0.04</v>
      </c>
      <c r="E44" s="3">
        <v>4.3999999999999997E-2</v>
      </c>
      <c r="F44" s="3">
        <v>4.5999999999999999E-2</v>
      </c>
      <c r="G44" s="3">
        <v>4.3999999999999997E-2</v>
      </c>
      <c r="H44" s="3">
        <v>6.9000000000000006E-2</v>
      </c>
      <c r="I44" s="3">
        <v>7.0999999999999994E-2</v>
      </c>
      <c r="J44" s="3">
        <v>7.0000000000000007E-2</v>
      </c>
      <c r="K44" s="3">
        <v>4.3999999999999997E-2</v>
      </c>
      <c r="L44" s="3">
        <v>5.2999999999999999E-2</v>
      </c>
      <c r="M44" s="3">
        <v>4.2999999999999997E-2</v>
      </c>
      <c r="N44" s="25">
        <v>562</v>
      </c>
    </row>
    <row r="45" spans="1:14" x14ac:dyDescent="0.35">
      <c r="A45" s="8" t="s">
        <v>17</v>
      </c>
      <c r="B45" s="3">
        <v>3.7999999999999999E-2</v>
      </c>
      <c r="C45" s="3">
        <v>3.7999999999999999E-2</v>
      </c>
      <c r="D45" s="3">
        <v>3.7999999999999999E-2</v>
      </c>
      <c r="E45" s="3">
        <v>4.3999999999999997E-2</v>
      </c>
      <c r="F45" s="3">
        <v>4.9000000000000002E-2</v>
      </c>
      <c r="G45" s="3">
        <v>4.2999999999999997E-2</v>
      </c>
      <c r="H45" s="3">
        <v>6.4000000000000001E-2</v>
      </c>
      <c r="I45" s="3">
        <v>7.0000000000000007E-2</v>
      </c>
      <c r="J45" s="3">
        <v>7.0000000000000007E-2</v>
      </c>
      <c r="K45" s="3">
        <v>4.7E-2</v>
      </c>
      <c r="L45" s="3">
        <v>4.8000000000000001E-2</v>
      </c>
      <c r="M45" s="3">
        <v>4.8000000000000001E-2</v>
      </c>
      <c r="N45" s="25">
        <v>562</v>
      </c>
    </row>
    <row r="46" spans="1:14" x14ac:dyDescent="0.35">
      <c r="A46" s="8" t="s">
        <v>18</v>
      </c>
      <c r="B46" s="3">
        <v>0.186</v>
      </c>
      <c r="C46" s="3">
        <v>0.183</v>
      </c>
      <c r="D46" s="3">
        <v>0.184</v>
      </c>
      <c r="E46" s="3">
        <v>4.2999999999999997E-2</v>
      </c>
      <c r="F46" s="3">
        <v>4.3999999999999997E-2</v>
      </c>
      <c r="G46" s="3">
        <v>4.3999999999999997E-2</v>
      </c>
      <c r="H46" s="3">
        <v>7.3999999999999996E-2</v>
      </c>
      <c r="I46" s="3">
        <v>7.2999999999999995E-2</v>
      </c>
      <c r="J46" s="3">
        <v>7.0999999999999994E-2</v>
      </c>
      <c r="K46" s="3">
        <v>5.5E-2</v>
      </c>
      <c r="L46" s="3">
        <v>5.5E-2</v>
      </c>
      <c r="M46" s="3">
        <v>5.5E-2</v>
      </c>
      <c r="N46" s="25">
        <v>562</v>
      </c>
    </row>
    <row r="47" spans="1:14" x14ac:dyDescent="0.35">
      <c r="A47" s="8" t="s">
        <v>19</v>
      </c>
      <c r="B47" s="3">
        <v>6.3E-2</v>
      </c>
      <c r="C47" s="3">
        <v>5.8999999999999997E-2</v>
      </c>
      <c r="D47" s="3">
        <v>5.1999999999999998E-2</v>
      </c>
      <c r="E47" s="3">
        <v>4.3999999999999997E-2</v>
      </c>
      <c r="F47" s="3">
        <v>4.3999999999999997E-2</v>
      </c>
      <c r="G47" s="3">
        <v>4.3999999999999997E-2</v>
      </c>
      <c r="H47" s="3">
        <v>6.6000000000000003E-2</v>
      </c>
      <c r="I47" s="3">
        <v>6.8000000000000005E-2</v>
      </c>
      <c r="J47" s="3">
        <v>7.0999999999999994E-2</v>
      </c>
      <c r="K47" s="3">
        <v>4.7E-2</v>
      </c>
      <c r="L47" s="3">
        <v>4.8000000000000001E-2</v>
      </c>
      <c r="M47" s="3">
        <v>4.8000000000000001E-2</v>
      </c>
      <c r="N47" s="25">
        <v>562</v>
      </c>
    </row>
    <row r="48" spans="1:14" x14ac:dyDescent="0.35">
      <c r="A48" s="8" t="s">
        <v>20</v>
      </c>
      <c r="B48" s="3">
        <v>4.1000000000000002E-2</v>
      </c>
      <c r="C48" s="3">
        <v>0.04</v>
      </c>
      <c r="D48" s="3">
        <v>4.1000000000000002E-2</v>
      </c>
      <c r="E48" s="3">
        <v>4.5999999999999999E-2</v>
      </c>
      <c r="F48" s="3">
        <v>4.3999999999999997E-2</v>
      </c>
      <c r="G48" s="3">
        <v>4.4999999999999998E-2</v>
      </c>
      <c r="H48" s="3">
        <v>6.6000000000000003E-2</v>
      </c>
      <c r="I48" s="3">
        <v>6.7000000000000004E-2</v>
      </c>
      <c r="J48" s="3">
        <v>6.8000000000000005E-2</v>
      </c>
      <c r="K48" s="3">
        <v>4.7E-2</v>
      </c>
      <c r="L48" s="3">
        <v>4.8000000000000001E-2</v>
      </c>
      <c r="M48" s="3">
        <v>4.7E-2</v>
      </c>
      <c r="N48" s="25">
        <v>562</v>
      </c>
    </row>
    <row r="49" spans="1:14" x14ac:dyDescent="0.35">
      <c r="A49" s="8" t="s">
        <v>21</v>
      </c>
      <c r="B49" s="3">
        <v>3.7999999999999999E-2</v>
      </c>
      <c r="C49" s="3">
        <v>3.7999999999999999E-2</v>
      </c>
      <c r="D49" s="3">
        <v>3.9E-2</v>
      </c>
      <c r="E49" s="3">
        <v>4.5999999999999999E-2</v>
      </c>
      <c r="F49" s="3">
        <v>4.4999999999999998E-2</v>
      </c>
      <c r="G49" s="3">
        <v>4.3999999999999997E-2</v>
      </c>
      <c r="H49" s="3">
        <v>0.14899999999999999</v>
      </c>
      <c r="I49" s="3">
        <v>0.14899999999999999</v>
      </c>
      <c r="J49" s="3">
        <v>0.152</v>
      </c>
      <c r="K49" s="3">
        <v>4.7E-2</v>
      </c>
      <c r="L49" s="3">
        <v>4.7E-2</v>
      </c>
      <c r="M49" s="3">
        <v>4.7E-2</v>
      </c>
      <c r="N49" s="25">
        <v>562</v>
      </c>
    </row>
    <row r="51" spans="1:14" ht="29" x14ac:dyDescent="0.35">
      <c r="A51" s="7" t="s">
        <v>55</v>
      </c>
      <c r="B51" s="8">
        <v>1</v>
      </c>
      <c r="C51" s="8">
        <v>2</v>
      </c>
      <c r="D51" s="8">
        <v>3</v>
      </c>
      <c r="E51" s="8">
        <v>4</v>
      </c>
      <c r="F51" s="8">
        <v>5</v>
      </c>
      <c r="G51" s="8">
        <v>6</v>
      </c>
      <c r="H51" s="8">
        <v>7</v>
      </c>
      <c r="I51" s="8">
        <v>8</v>
      </c>
      <c r="J51" s="8">
        <v>9</v>
      </c>
      <c r="K51" s="8">
        <v>10</v>
      </c>
      <c r="L51" s="8">
        <v>11</v>
      </c>
      <c r="M51" s="8">
        <v>12</v>
      </c>
    </row>
    <row r="52" spans="1:14" x14ac:dyDescent="0.35">
      <c r="A52" s="8" t="s">
        <v>14</v>
      </c>
      <c r="B52" s="3">
        <v>0.34200000000000003</v>
      </c>
      <c r="C52" s="3">
        <v>0.32200000000000001</v>
      </c>
      <c r="D52" s="3">
        <v>0.26500000000000001</v>
      </c>
      <c r="E52" s="3">
        <v>0.04</v>
      </c>
      <c r="F52" s="3">
        <v>0.04</v>
      </c>
      <c r="G52" s="3">
        <v>0.04</v>
      </c>
      <c r="H52" s="3">
        <v>4.7E-2</v>
      </c>
      <c r="I52" s="3">
        <v>4.8000000000000001E-2</v>
      </c>
      <c r="J52" s="3">
        <v>4.7E-2</v>
      </c>
      <c r="K52" s="3">
        <v>4.7E-2</v>
      </c>
      <c r="L52" s="3">
        <v>4.7E-2</v>
      </c>
      <c r="M52" s="3">
        <v>4.7E-2</v>
      </c>
      <c r="N52" s="25">
        <v>562</v>
      </c>
    </row>
    <row r="53" spans="1:14" x14ac:dyDescent="0.35">
      <c r="A53" s="8" t="s">
        <v>15</v>
      </c>
      <c r="B53" s="3">
        <v>7.0999999999999994E-2</v>
      </c>
      <c r="C53" s="3">
        <v>0.08</v>
      </c>
      <c r="D53" s="3">
        <v>7.3999999999999996E-2</v>
      </c>
      <c r="E53" s="3">
        <v>4.4999999999999998E-2</v>
      </c>
      <c r="F53" s="3">
        <v>4.8000000000000001E-2</v>
      </c>
      <c r="G53" s="3">
        <v>4.7E-2</v>
      </c>
      <c r="H53" s="3">
        <v>4.8000000000000001E-2</v>
      </c>
      <c r="I53" s="3">
        <v>4.7E-2</v>
      </c>
      <c r="J53" s="3">
        <v>4.7E-2</v>
      </c>
      <c r="K53" s="3">
        <v>4.7E-2</v>
      </c>
      <c r="L53" s="3">
        <v>4.8000000000000001E-2</v>
      </c>
      <c r="M53" s="3">
        <v>4.7E-2</v>
      </c>
      <c r="N53" s="25">
        <v>562</v>
      </c>
    </row>
    <row r="54" spans="1:14" x14ac:dyDescent="0.35">
      <c r="A54" s="8" t="s">
        <v>16</v>
      </c>
      <c r="B54" s="3">
        <v>0.04</v>
      </c>
      <c r="C54" s="3">
        <v>0.04</v>
      </c>
      <c r="D54" s="3">
        <v>3.9E-2</v>
      </c>
      <c r="E54" s="3">
        <v>0.05</v>
      </c>
      <c r="F54" s="3">
        <v>0.05</v>
      </c>
      <c r="G54" s="3">
        <v>4.9000000000000002E-2</v>
      </c>
      <c r="H54" s="3">
        <v>4.7E-2</v>
      </c>
      <c r="I54" s="3">
        <v>4.7E-2</v>
      </c>
      <c r="J54" s="3">
        <v>4.7E-2</v>
      </c>
      <c r="K54" s="3">
        <v>4.7E-2</v>
      </c>
      <c r="L54" s="3">
        <v>4.7E-2</v>
      </c>
      <c r="M54" s="3">
        <v>4.7E-2</v>
      </c>
      <c r="N54" s="25">
        <v>562</v>
      </c>
    </row>
    <row r="55" spans="1:14" x14ac:dyDescent="0.35">
      <c r="A55" s="8" t="s">
        <v>17</v>
      </c>
      <c r="B55" s="3">
        <v>3.7999999999999999E-2</v>
      </c>
      <c r="C55" s="3">
        <v>3.7999999999999999E-2</v>
      </c>
      <c r="D55" s="3">
        <v>3.9E-2</v>
      </c>
      <c r="E55" s="3">
        <v>4.9000000000000002E-2</v>
      </c>
      <c r="F55" s="3">
        <v>4.5999999999999999E-2</v>
      </c>
      <c r="G55" s="3">
        <v>4.7E-2</v>
      </c>
      <c r="H55" s="3">
        <v>4.7E-2</v>
      </c>
      <c r="I55" s="3">
        <v>4.7E-2</v>
      </c>
      <c r="J55" s="3">
        <v>4.8000000000000001E-2</v>
      </c>
      <c r="K55" s="3">
        <v>4.7E-2</v>
      </c>
      <c r="L55" s="3">
        <v>4.7E-2</v>
      </c>
      <c r="M55" s="3">
        <v>4.7E-2</v>
      </c>
      <c r="N55" s="25">
        <v>562</v>
      </c>
    </row>
    <row r="56" spans="1:14" x14ac:dyDescent="0.35">
      <c r="A56" s="8" t="s">
        <v>18</v>
      </c>
      <c r="B56" s="3">
        <v>0.18099999999999999</v>
      </c>
      <c r="C56" s="3">
        <v>0.17599999999999999</v>
      </c>
      <c r="D56" s="3">
        <v>0.19</v>
      </c>
      <c r="E56" s="3">
        <v>0.05</v>
      </c>
      <c r="F56" s="3">
        <v>4.8000000000000001E-2</v>
      </c>
      <c r="G56" s="3">
        <v>4.9000000000000002E-2</v>
      </c>
      <c r="H56" s="3">
        <v>4.7E-2</v>
      </c>
      <c r="I56" s="3">
        <v>4.7E-2</v>
      </c>
      <c r="J56" s="3">
        <v>4.7E-2</v>
      </c>
      <c r="K56" s="3">
        <v>4.7E-2</v>
      </c>
      <c r="L56" s="3">
        <v>4.7E-2</v>
      </c>
      <c r="M56" s="3">
        <v>4.8000000000000001E-2</v>
      </c>
      <c r="N56" s="25">
        <v>562</v>
      </c>
    </row>
    <row r="57" spans="1:14" x14ac:dyDescent="0.35">
      <c r="A57" s="8" t="s">
        <v>19</v>
      </c>
      <c r="B57" s="3">
        <v>7.2999999999999995E-2</v>
      </c>
      <c r="C57" s="3">
        <v>6.5000000000000002E-2</v>
      </c>
      <c r="D57" s="3">
        <v>5.1999999999999998E-2</v>
      </c>
      <c r="E57" s="3">
        <v>4.9000000000000002E-2</v>
      </c>
      <c r="F57" s="3">
        <v>4.8000000000000001E-2</v>
      </c>
      <c r="G57" s="3">
        <v>0.05</v>
      </c>
      <c r="H57" s="3">
        <v>4.7E-2</v>
      </c>
      <c r="I57" s="3">
        <v>4.7E-2</v>
      </c>
      <c r="J57" s="3">
        <v>4.7E-2</v>
      </c>
      <c r="K57" s="3">
        <v>4.9000000000000002E-2</v>
      </c>
      <c r="L57" s="3">
        <v>4.7E-2</v>
      </c>
      <c r="M57" s="3">
        <v>4.7E-2</v>
      </c>
      <c r="N57" s="25">
        <v>562</v>
      </c>
    </row>
    <row r="58" spans="1:14" x14ac:dyDescent="0.35">
      <c r="A58" s="8" t="s">
        <v>20</v>
      </c>
      <c r="B58" s="3">
        <v>0.04</v>
      </c>
      <c r="C58" s="3">
        <v>3.9E-2</v>
      </c>
      <c r="D58" s="3">
        <v>3.9E-2</v>
      </c>
      <c r="E58" s="3">
        <v>4.9000000000000002E-2</v>
      </c>
      <c r="F58" s="3">
        <v>4.7E-2</v>
      </c>
      <c r="G58" s="3">
        <v>4.7E-2</v>
      </c>
      <c r="H58" s="3">
        <v>4.7E-2</v>
      </c>
      <c r="I58" s="3">
        <v>4.7E-2</v>
      </c>
      <c r="J58" s="3">
        <v>4.7E-2</v>
      </c>
      <c r="K58" s="3">
        <v>4.7E-2</v>
      </c>
      <c r="L58" s="3">
        <v>4.7E-2</v>
      </c>
      <c r="M58" s="3">
        <v>4.7E-2</v>
      </c>
      <c r="N58" s="25">
        <v>562</v>
      </c>
    </row>
    <row r="59" spans="1:14" x14ac:dyDescent="0.35">
      <c r="A59" s="8" t="s">
        <v>21</v>
      </c>
      <c r="B59" s="3">
        <v>3.7999999999999999E-2</v>
      </c>
      <c r="C59" s="3">
        <v>3.7999999999999999E-2</v>
      </c>
      <c r="D59" s="3">
        <v>3.7999999999999999E-2</v>
      </c>
      <c r="E59" s="3">
        <v>0.17599999999999999</v>
      </c>
      <c r="F59" s="3">
        <v>0.184</v>
      </c>
      <c r="G59" s="3">
        <v>0.19900000000000001</v>
      </c>
      <c r="H59" s="3">
        <v>4.7E-2</v>
      </c>
      <c r="I59" s="3">
        <v>4.7E-2</v>
      </c>
      <c r="J59" s="3">
        <v>4.7E-2</v>
      </c>
      <c r="K59" s="3">
        <v>4.7E-2</v>
      </c>
      <c r="L59" s="3">
        <v>4.7E-2</v>
      </c>
      <c r="M59" s="3">
        <v>4.7E-2</v>
      </c>
      <c r="N59" s="25">
        <v>562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31E0-4F4B-4D2A-B5B9-5F6F3DE29E26}">
  <dimension ref="A1:M49"/>
  <sheetViews>
    <sheetView tabSelected="1" workbookViewId="0">
      <selection activeCell="F15" sqref="F15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5">
      <c r="A2" s="8" t="s">
        <v>14</v>
      </c>
      <c r="B2" s="3">
        <v>0.14699999999999999</v>
      </c>
      <c r="C2" s="3">
        <v>0.14899999999999999</v>
      </c>
      <c r="D2" s="3" t="s">
        <v>23</v>
      </c>
      <c r="E2" s="3">
        <v>0.26400000000000001</v>
      </c>
      <c r="F2" s="3">
        <v>0.23899999999999999</v>
      </c>
      <c r="G2" s="3">
        <v>0.26</v>
      </c>
      <c r="H2" s="3">
        <v>4.1000000000000002E-2</v>
      </c>
      <c r="I2" s="3">
        <v>4.1000000000000002E-2</v>
      </c>
      <c r="J2" s="3">
        <v>4.1000000000000002E-2</v>
      </c>
      <c r="K2" s="3">
        <v>0.04</v>
      </c>
      <c r="L2" s="3">
        <v>4.1000000000000002E-2</v>
      </c>
      <c r="M2" s="3">
        <v>4.2000000000000003E-2</v>
      </c>
    </row>
    <row r="3" spans="1:13" x14ac:dyDescent="0.35">
      <c r="A3" s="8" t="s">
        <v>15</v>
      </c>
      <c r="B3" s="3">
        <v>0.115</v>
      </c>
      <c r="C3" s="3">
        <v>0.14000000000000001</v>
      </c>
      <c r="D3" s="3">
        <v>0.13300000000000001</v>
      </c>
      <c r="E3" s="3">
        <v>0.47399999999999998</v>
      </c>
      <c r="F3" s="3">
        <v>0.41199999999999998</v>
      </c>
      <c r="G3" s="3">
        <v>0.56499999999999995</v>
      </c>
      <c r="H3" s="3">
        <v>4.2000000000000003E-2</v>
      </c>
      <c r="I3" s="3">
        <v>0.04</v>
      </c>
      <c r="J3" s="3">
        <v>0.04</v>
      </c>
      <c r="K3" s="3">
        <v>4.2999999999999997E-2</v>
      </c>
      <c r="L3" s="3">
        <v>4.3999999999999997E-2</v>
      </c>
      <c r="M3" s="3">
        <v>4.2000000000000003E-2</v>
      </c>
    </row>
    <row r="4" spans="1:13" x14ac:dyDescent="0.35">
      <c r="A4" s="8" t="s">
        <v>16</v>
      </c>
      <c r="B4" s="3">
        <v>0.10299999999999999</v>
      </c>
      <c r="C4" s="3">
        <v>0.113</v>
      </c>
      <c r="D4" s="3">
        <v>9.6000000000000002E-2</v>
      </c>
      <c r="E4" s="3">
        <v>0.91800000000000004</v>
      </c>
      <c r="F4" s="3" t="s">
        <v>23</v>
      </c>
      <c r="G4" s="3">
        <v>0.90600000000000003</v>
      </c>
      <c r="H4" s="3">
        <v>3.9E-2</v>
      </c>
      <c r="I4" s="3">
        <v>0.04</v>
      </c>
      <c r="J4" s="3">
        <v>0.04</v>
      </c>
      <c r="K4" s="3">
        <v>4.2999999999999997E-2</v>
      </c>
      <c r="L4" s="3">
        <v>4.3999999999999997E-2</v>
      </c>
      <c r="M4" s="3">
        <v>4.4999999999999998E-2</v>
      </c>
    </row>
    <row r="5" spans="1:13" x14ac:dyDescent="0.35">
      <c r="A5" s="8" t="s">
        <v>17</v>
      </c>
      <c r="B5" s="3">
        <v>7.3999999999999996E-2</v>
      </c>
      <c r="C5" s="3">
        <v>7.0999999999999994E-2</v>
      </c>
      <c r="D5" s="3" t="s">
        <v>23</v>
      </c>
      <c r="E5" s="3">
        <v>4.7E-2</v>
      </c>
      <c r="F5" s="3">
        <v>4.7E-2</v>
      </c>
      <c r="G5" s="3">
        <v>4.7E-2</v>
      </c>
      <c r="H5" s="3">
        <v>3.9E-2</v>
      </c>
      <c r="I5" s="3">
        <v>3.9E-2</v>
      </c>
      <c r="J5" s="3">
        <v>3.9E-2</v>
      </c>
      <c r="K5" s="3">
        <v>4.7E-2</v>
      </c>
      <c r="L5" s="3">
        <v>4.7E-2</v>
      </c>
      <c r="M5" s="3">
        <v>4.7E-2</v>
      </c>
    </row>
    <row r="6" spans="1:13" x14ac:dyDescent="0.35">
      <c r="A6" s="8" t="s">
        <v>18</v>
      </c>
      <c r="B6" s="3">
        <v>5.5E-2</v>
      </c>
      <c r="C6" s="3">
        <v>5.7000000000000002E-2</v>
      </c>
      <c r="D6" s="3">
        <v>5.2999999999999999E-2</v>
      </c>
      <c r="E6" s="3">
        <v>4.7E-2</v>
      </c>
      <c r="F6" s="3">
        <v>4.7E-2</v>
      </c>
      <c r="G6" s="3">
        <v>4.7E-2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4.7E-2</v>
      </c>
    </row>
    <row r="7" spans="1:13" x14ac:dyDescent="0.35">
      <c r="A7" s="8" t="s">
        <v>19</v>
      </c>
      <c r="B7" s="3">
        <v>4.7E-2</v>
      </c>
      <c r="C7" s="3">
        <v>0.05</v>
      </c>
      <c r="D7" s="3">
        <v>4.9000000000000002E-2</v>
      </c>
      <c r="E7" s="3">
        <v>4.7E-2</v>
      </c>
      <c r="F7" s="3">
        <v>4.7E-2</v>
      </c>
      <c r="G7" s="3">
        <v>4.7E-2</v>
      </c>
      <c r="H7" s="3">
        <v>3.7999999999999999E-2</v>
      </c>
      <c r="I7" s="3">
        <v>3.9E-2</v>
      </c>
      <c r="J7" s="3">
        <v>0.04</v>
      </c>
      <c r="K7" s="3">
        <v>4.7E-2</v>
      </c>
      <c r="L7" s="3">
        <v>4.7E-2</v>
      </c>
      <c r="M7" s="3">
        <v>4.8000000000000001E-2</v>
      </c>
    </row>
    <row r="8" spans="1:13" x14ac:dyDescent="0.35">
      <c r="A8" s="8" t="s">
        <v>20</v>
      </c>
      <c r="B8" s="3">
        <v>4.2999999999999997E-2</v>
      </c>
      <c r="C8" s="3">
        <v>4.2999999999999997E-2</v>
      </c>
      <c r="D8" s="3">
        <v>4.2000000000000003E-2</v>
      </c>
      <c r="E8" s="3">
        <v>4.7E-2</v>
      </c>
      <c r="F8" s="3">
        <v>4.7E-2</v>
      </c>
      <c r="G8" s="3">
        <v>4.7E-2</v>
      </c>
      <c r="H8" s="3">
        <v>3.7999999999999999E-2</v>
      </c>
      <c r="I8" s="3">
        <v>3.7999999999999999E-2</v>
      </c>
      <c r="J8" s="3">
        <v>3.6999999999999998E-2</v>
      </c>
      <c r="K8" s="3">
        <v>4.7E-2</v>
      </c>
      <c r="L8" s="3">
        <v>4.7E-2</v>
      </c>
      <c r="M8" s="3">
        <v>4.7E-2</v>
      </c>
    </row>
    <row r="9" spans="1:13" x14ac:dyDescent="0.35">
      <c r="A9" s="8" t="s">
        <v>21</v>
      </c>
      <c r="B9" s="3">
        <v>3.7999999999999999E-2</v>
      </c>
      <c r="C9" s="3">
        <v>3.7999999999999999E-2</v>
      </c>
      <c r="D9" s="3">
        <v>3.6999999999999998E-2</v>
      </c>
      <c r="E9" s="3">
        <v>3.6999999999999998E-2</v>
      </c>
      <c r="F9" s="3">
        <v>3.7999999999999999E-2</v>
      </c>
      <c r="G9" s="3">
        <v>3.7999999999999999E-2</v>
      </c>
      <c r="H9" s="3">
        <v>3.9E-2</v>
      </c>
      <c r="I9" s="3">
        <v>3.6999999999999998E-2</v>
      </c>
      <c r="J9" s="3">
        <v>3.9E-2</v>
      </c>
      <c r="K9" s="3">
        <v>3.6999999999999998E-2</v>
      </c>
      <c r="L9" s="3">
        <v>3.7999999999999999E-2</v>
      </c>
      <c r="M9" s="3">
        <v>3.6999999999999998E-2</v>
      </c>
    </row>
    <row r="11" spans="1:13" x14ac:dyDescent="0.35">
      <c r="A11" s="7" t="s">
        <v>5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 x14ac:dyDescent="0.35">
      <c r="A12" s="8" t="s">
        <v>14</v>
      </c>
      <c r="B12" s="3">
        <v>0.28199999999999997</v>
      </c>
      <c r="C12" s="3">
        <v>0.26700000000000002</v>
      </c>
      <c r="D12" s="3" t="s">
        <v>23</v>
      </c>
      <c r="E12" s="3">
        <v>0.42799999999999999</v>
      </c>
      <c r="F12" s="3">
        <v>0.36699999999999999</v>
      </c>
      <c r="G12" s="3">
        <v>0.379</v>
      </c>
      <c r="H12" s="3">
        <v>0.188</v>
      </c>
      <c r="I12" s="3">
        <v>0.16500000000000001</v>
      </c>
      <c r="J12" s="3">
        <v>0.192</v>
      </c>
      <c r="K12" s="3">
        <v>0.22800000000000001</v>
      </c>
      <c r="L12" s="3">
        <v>0.24399999999999999</v>
      </c>
      <c r="M12" s="3">
        <v>0.246</v>
      </c>
    </row>
    <row r="13" spans="1:13" x14ac:dyDescent="0.35">
      <c r="A13" s="8" t="s">
        <v>15</v>
      </c>
      <c r="B13" s="3">
        <v>0.20499999999999999</v>
      </c>
      <c r="C13" s="3">
        <v>0.221</v>
      </c>
      <c r="D13" s="3">
        <v>0.21</v>
      </c>
      <c r="E13" s="3">
        <v>0.61099999999999999</v>
      </c>
      <c r="F13" s="3">
        <v>0.59099999999999997</v>
      </c>
      <c r="G13" s="3">
        <v>0.71199999999999997</v>
      </c>
      <c r="H13" s="3">
        <v>0.14199999999999999</v>
      </c>
      <c r="I13" s="3">
        <v>0.14499999999999999</v>
      </c>
      <c r="J13" s="3">
        <v>0.13200000000000001</v>
      </c>
      <c r="K13" s="3">
        <v>0.29299999999999998</v>
      </c>
      <c r="L13" s="3">
        <v>0.32500000000000001</v>
      </c>
      <c r="M13" s="3">
        <v>0.27100000000000002</v>
      </c>
    </row>
    <row r="14" spans="1:13" x14ac:dyDescent="0.35">
      <c r="A14" s="8" t="s">
        <v>16</v>
      </c>
      <c r="B14" s="3">
        <v>0.16200000000000001</v>
      </c>
      <c r="C14" s="3">
        <v>0.16200000000000001</v>
      </c>
      <c r="D14" s="3">
        <v>0.154</v>
      </c>
      <c r="E14" s="3">
        <v>0.98099999999999998</v>
      </c>
      <c r="F14" s="3" t="s">
        <v>23</v>
      </c>
      <c r="G14" s="3">
        <v>0.95899999999999996</v>
      </c>
      <c r="H14" s="3">
        <v>0.106</v>
      </c>
      <c r="I14" s="3">
        <v>0.115</v>
      </c>
      <c r="J14" s="3">
        <v>0.109</v>
      </c>
      <c r="K14" s="3">
        <v>0.26800000000000002</v>
      </c>
      <c r="L14" s="3">
        <v>0.33300000000000002</v>
      </c>
      <c r="M14" s="3">
        <v>0.27</v>
      </c>
    </row>
    <row r="15" spans="1:13" x14ac:dyDescent="0.35">
      <c r="A15" s="8" t="s">
        <v>17</v>
      </c>
      <c r="B15" s="3">
        <v>0.113</v>
      </c>
      <c r="C15" s="3">
        <v>0.107</v>
      </c>
      <c r="D15" s="3" t="s">
        <v>23</v>
      </c>
      <c r="E15" s="3">
        <v>4.7E-2</v>
      </c>
      <c r="F15" s="3">
        <v>4.8000000000000001E-2</v>
      </c>
      <c r="G15" s="3">
        <v>4.7E-2</v>
      </c>
      <c r="H15" s="3">
        <v>7.9000000000000001E-2</v>
      </c>
      <c r="I15" s="3">
        <v>9.2999999999999999E-2</v>
      </c>
      <c r="J15" s="3">
        <v>8.5999999999999993E-2</v>
      </c>
      <c r="K15" s="3">
        <v>4.7E-2</v>
      </c>
      <c r="L15" s="3">
        <v>4.8000000000000001E-2</v>
      </c>
      <c r="M15" s="3">
        <v>4.7E-2</v>
      </c>
    </row>
    <row r="16" spans="1:13" x14ac:dyDescent="0.35">
      <c r="A16" s="8" t="s">
        <v>18</v>
      </c>
      <c r="B16" s="3">
        <v>7.2999999999999995E-2</v>
      </c>
      <c r="C16" s="3">
        <v>7.6999999999999999E-2</v>
      </c>
      <c r="D16" s="3">
        <v>7.0999999999999994E-2</v>
      </c>
      <c r="E16" s="3">
        <v>4.7E-2</v>
      </c>
      <c r="F16" s="3">
        <v>4.7E-2</v>
      </c>
      <c r="G16" s="3">
        <v>4.7E-2</v>
      </c>
      <c r="H16" s="3">
        <v>6.2E-2</v>
      </c>
      <c r="I16" s="3">
        <v>6.4000000000000001E-2</v>
      </c>
      <c r="J16" s="3">
        <v>5.8000000000000003E-2</v>
      </c>
      <c r="K16" s="3">
        <v>4.7E-2</v>
      </c>
      <c r="L16" s="3">
        <v>4.8000000000000001E-2</v>
      </c>
      <c r="M16" s="3">
        <v>4.7E-2</v>
      </c>
    </row>
    <row r="17" spans="1:13" x14ac:dyDescent="0.35">
      <c r="A17" s="8" t="s">
        <v>19</v>
      </c>
      <c r="B17" s="3">
        <v>6.2E-2</v>
      </c>
      <c r="C17" s="3">
        <v>6.0999999999999999E-2</v>
      </c>
      <c r="D17" s="3">
        <v>6.2E-2</v>
      </c>
      <c r="E17" s="3">
        <v>4.7E-2</v>
      </c>
      <c r="F17" s="3">
        <v>4.7E-2</v>
      </c>
      <c r="G17" s="3">
        <v>4.7E-2</v>
      </c>
      <c r="H17" s="3">
        <v>6.2E-2</v>
      </c>
      <c r="I17" s="3">
        <v>5.3999999999999999E-2</v>
      </c>
      <c r="J17" s="3">
        <v>4.5999999999999999E-2</v>
      </c>
      <c r="K17" s="3">
        <v>4.7E-2</v>
      </c>
      <c r="L17" s="3">
        <v>4.7E-2</v>
      </c>
      <c r="M17" s="3">
        <v>4.8000000000000001E-2</v>
      </c>
    </row>
    <row r="18" spans="1:13" x14ac:dyDescent="0.35">
      <c r="A18" s="8" t="s">
        <v>20</v>
      </c>
      <c r="B18" s="3">
        <v>5.0999999999999997E-2</v>
      </c>
      <c r="C18" s="3">
        <v>0.05</v>
      </c>
      <c r="D18" s="3">
        <v>4.9000000000000002E-2</v>
      </c>
      <c r="E18" s="3">
        <v>4.7E-2</v>
      </c>
      <c r="F18" s="3">
        <v>4.7E-2</v>
      </c>
      <c r="G18" s="3">
        <v>4.7E-2</v>
      </c>
      <c r="H18" s="3">
        <v>4.5999999999999999E-2</v>
      </c>
      <c r="I18" s="3">
        <v>4.5999999999999999E-2</v>
      </c>
      <c r="J18" s="3">
        <v>4.7E-2</v>
      </c>
      <c r="K18" s="3">
        <v>4.7E-2</v>
      </c>
      <c r="L18" s="3">
        <v>4.7E-2</v>
      </c>
      <c r="M18" s="3">
        <v>4.7E-2</v>
      </c>
    </row>
    <row r="19" spans="1:13" x14ac:dyDescent="0.35">
      <c r="A19" s="8" t="s">
        <v>21</v>
      </c>
      <c r="B19" s="3">
        <v>3.9E-2</v>
      </c>
      <c r="C19" s="3">
        <v>0.04</v>
      </c>
      <c r="D19" s="3">
        <v>3.9E-2</v>
      </c>
      <c r="E19" s="3">
        <v>3.7999999999999999E-2</v>
      </c>
      <c r="F19" s="3">
        <v>3.7999999999999999E-2</v>
      </c>
      <c r="G19" s="3">
        <v>3.9E-2</v>
      </c>
      <c r="H19" s="3">
        <v>0.04</v>
      </c>
      <c r="I19" s="3">
        <v>3.9E-2</v>
      </c>
      <c r="J19" s="3">
        <v>4.1000000000000002E-2</v>
      </c>
      <c r="K19" s="3">
        <v>3.7999999999999999E-2</v>
      </c>
      <c r="L19" s="3">
        <v>3.7999999999999999E-2</v>
      </c>
      <c r="M19" s="3">
        <v>3.7999999999999999E-2</v>
      </c>
    </row>
    <row r="21" spans="1:13" x14ac:dyDescent="0.35">
      <c r="A21" s="9" t="s">
        <v>22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x14ac:dyDescent="0.35">
      <c r="A22" s="10" t="s">
        <v>14</v>
      </c>
      <c r="B22" t="s">
        <v>61</v>
      </c>
      <c r="C22" t="s">
        <v>61</v>
      </c>
      <c r="D22" t="s">
        <v>61</v>
      </c>
      <c r="E22" t="s">
        <v>69</v>
      </c>
      <c r="F22" t="s">
        <v>69</v>
      </c>
      <c r="G22" t="s">
        <v>69</v>
      </c>
      <c r="H22" s="12" t="s">
        <v>72</v>
      </c>
      <c r="I22" s="12" t="s">
        <v>72</v>
      </c>
      <c r="J22" s="12" t="s">
        <v>72</v>
      </c>
      <c r="K22" t="s">
        <v>80</v>
      </c>
      <c r="L22" t="s">
        <v>80</v>
      </c>
      <c r="M22" t="s">
        <v>80</v>
      </c>
    </row>
    <row r="23" spans="1:13" x14ac:dyDescent="0.35">
      <c r="A23" s="10" t="s">
        <v>15</v>
      </c>
      <c r="B23" t="s">
        <v>62</v>
      </c>
      <c r="C23" t="s">
        <v>62</v>
      </c>
      <c r="D23" t="s">
        <v>62</v>
      </c>
      <c r="E23" t="s">
        <v>70</v>
      </c>
      <c r="F23" t="s">
        <v>70</v>
      </c>
      <c r="G23" t="s">
        <v>70</v>
      </c>
      <c r="H23" s="14" t="s">
        <v>73</v>
      </c>
      <c r="I23" s="15" t="s">
        <v>73</v>
      </c>
      <c r="J23" t="s">
        <v>73</v>
      </c>
      <c r="K23" t="s">
        <v>81</v>
      </c>
      <c r="L23" t="s">
        <v>81</v>
      </c>
      <c r="M23" t="s">
        <v>81</v>
      </c>
    </row>
    <row r="24" spans="1:13" x14ac:dyDescent="0.35">
      <c r="A24" s="10" t="s">
        <v>16</v>
      </c>
      <c r="B24" t="s">
        <v>63</v>
      </c>
      <c r="C24" t="s">
        <v>63</v>
      </c>
      <c r="D24" t="s">
        <v>63</v>
      </c>
      <c r="E24" t="s">
        <v>71</v>
      </c>
      <c r="F24" t="s">
        <v>71</v>
      </c>
      <c r="G24" t="s">
        <v>71</v>
      </c>
      <c r="H24" s="12" t="s">
        <v>74</v>
      </c>
      <c r="I24" s="12" t="s">
        <v>74</v>
      </c>
      <c r="J24" s="12" t="s">
        <v>74</v>
      </c>
      <c r="K24" t="s">
        <v>82</v>
      </c>
      <c r="L24" t="s">
        <v>82</v>
      </c>
      <c r="M24" t="s">
        <v>82</v>
      </c>
    </row>
    <row r="25" spans="1:13" x14ac:dyDescent="0.35">
      <c r="A25" s="10" t="s">
        <v>17</v>
      </c>
      <c r="B25" t="s">
        <v>64</v>
      </c>
      <c r="C25" t="s">
        <v>64</v>
      </c>
      <c r="D25" t="s">
        <v>64</v>
      </c>
      <c r="E25" t="s">
        <v>23</v>
      </c>
      <c r="F25" t="s">
        <v>23</v>
      </c>
      <c r="G25" t="s">
        <v>23</v>
      </c>
      <c r="H25" s="16" t="s">
        <v>75</v>
      </c>
      <c r="I25" s="16" t="s">
        <v>75</v>
      </c>
      <c r="J25" s="16" t="s">
        <v>75</v>
      </c>
      <c r="K25" t="s">
        <v>76</v>
      </c>
      <c r="L25" t="s">
        <v>76</v>
      </c>
      <c r="M25" t="s">
        <v>76</v>
      </c>
    </row>
    <row r="26" spans="1:13" x14ac:dyDescent="0.35">
      <c r="A26" s="10" t="s">
        <v>18</v>
      </c>
      <c r="B26" t="s">
        <v>65</v>
      </c>
      <c r="C26" t="s">
        <v>65</v>
      </c>
      <c r="D26" t="s">
        <v>65</v>
      </c>
      <c r="E26" t="s">
        <v>23</v>
      </c>
      <c r="F26" t="s">
        <v>23</v>
      </c>
      <c r="G26" t="s">
        <v>23</v>
      </c>
      <c r="H26" s="18" t="s">
        <v>23</v>
      </c>
      <c r="I26" s="18" t="s">
        <v>23</v>
      </c>
      <c r="J26" s="18" t="s">
        <v>23</v>
      </c>
      <c r="K26" t="s">
        <v>23</v>
      </c>
      <c r="L26" t="s">
        <v>23</v>
      </c>
      <c r="M26" t="s">
        <v>23</v>
      </c>
    </row>
    <row r="27" spans="1:13" x14ac:dyDescent="0.35">
      <c r="A27" s="10" t="s">
        <v>19</v>
      </c>
      <c r="B27" t="s">
        <v>66</v>
      </c>
      <c r="C27" t="s">
        <v>66</v>
      </c>
      <c r="D27" t="s">
        <v>66</v>
      </c>
      <c r="E27" t="s">
        <v>23</v>
      </c>
      <c r="F27" t="s">
        <v>23</v>
      </c>
      <c r="G27" t="s">
        <v>23</v>
      </c>
      <c r="H27" s="19" t="s">
        <v>77</v>
      </c>
      <c r="I27" s="19" t="s">
        <v>77</v>
      </c>
      <c r="J27" s="19" t="s">
        <v>77</v>
      </c>
      <c r="K27" t="s">
        <v>23</v>
      </c>
      <c r="L27" t="s">
        <v>23</v>
      </c>
      <c r="M27" t="s">
        <v>23</v>
      </c>
    </row>
    <row r="28" spans="1:13" x14ac:dyDescent="0.35">
      <c r="A28" s="10" t="s">
        <v>20</v>
      </c>
      <c r="B28" t="s">
        <v>67</v>
      </c>
      <c r="C28" t="s">
        <v>67</v>
      </c>
      <c r="D28" t="s">
        <v>67</v>
      </c>
      <c r="E28" t="s">
        <v>23</v>
      </c>
      <c r="F28" t="s">
        <v>23</v>
      </c>
      <c r="G28" t="s">
        <v>23</v>
      </c>
      <c r="H28" s="12" t="s">
        <v>78</v>
      </c>
      <c r="I28" s="12" t="s">
        <v>78</v>
      </c>
      <c r="J28" s="12" t="s">
        <v>78</v>
      </c>
      <c r="K28" t="s">
        <v>23</v>
      </c>
      <c r="L28" t="s">
        <v>23</v>
      </c>
      <c r="M28" t="s">
        <v>23</v>
      </c>
    </row>
    <row r="29" spans="1:13" x14ac:dyDescent="0.35">
      <c r="A29" s="10" t="s">
        <v>21</v>
      </c>
      <c r="B29" t="s">
        <v>68</v>
      </c>
      <c r="C29" t="s">
        <v>68</v>
      </c>
      <c r="D29" t="s">
        <v>68</v>
      </c>
      <c r="E29" t="s">
        <v>26</v>
      </c>
      <c r="F29" t="s">
        <v>26</v>
      </c>
      <c r="G29" t="s">
        <v>26</v>
      </c>
      <c r="H29" s="12" t="s">
        <v>79</v>
      </c>
      <c r="I29" s="12" t="s">
        <v>79</v>
      </c>
      <c r="J29" s="12" t="s">
        <v>79</v>
      </c>
      <c r="K29" t="s">
        <v>26</v>
      </c>
      <c r="L29" t="s">
        <v>26</v>
      </c>
      <c r="M29" t="s">
        <v>26</v>
      </c>
    </row>
    <row r="31" spans="1:13" x14ac:dyDescent="0.35">
      <c r="A31" s="9" t="s">
        <v>24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16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18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19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20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21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  <row r="41" spans="1:13" x14ac:dyDescent="0.35">
      <c r="A41" s="9" t="s">
        <v>25</v>
      </c>
      <c r="B41" s="10">
        <v>1</v>
      </c>
      <c r="C41" s="10">
        <v>2</v>
      </c>
      <c r="D41" s="10">
        <v>3</v>
      </c>
      <c r="E41" s="10">
        <v>4</v>
      </c>
      <c r="F41" s="10">
        <v>5</v>
      </c>
      <c r="G41" s="10">
        <v>6</v>
      </c>
      <c r="H41" s="10">
        <v>7</v>
      </c>
      <c r="I41" s="10">
        <v>8</v>
      </c>
      <c r="J41" s="10">
        <v>9</v>
      </c>
      <c r="K41" s="10">
        <v>10</v>
      </c>
      <c r="L41" s="10">
        <v>11</v>
      </c>
      <c r="M41" s="10">
        <v>12</v>
      </c>
    </row>
    <row r="42" spans="1:13" x14ac:dyDescent="0.35">
      <c r="A42" s="10" t="s">
        <v>14</v>
      </c>
      <c r="B42" s="11">
        <v>60</v>
      </c>
      <c r="C42" s="11">
        <v>60</v>
      </c>
      <c r="D42" s="11">
        <v>60</v>
      </c>
      <c r="E42" s="12">
        <v>100</v>
      </c>
      <c r="F42" s="12">
        <v>100</v>
      </c>
      <c r="G42" s="12">
        <v>100</v>
      </c>
      <c r="H42" s="20">
        <v>60</v>
      </c>
      <c r="I42" s="20">
        <v>60</v>
      </c>
      <c r="J42" s="20">
        <v>60</v>
      </c>
      <c r="K42" s="12">
        <v>100</v>
      </c>
      <c r="L42" s="12">
        <v>100</v>
      </c>
      <c r="M42" s="12">
        <v>100</v>
      </c>
    </row>
    <row r="43" spans="1:13" x14ac:dyDescent="0.35">
      <c r="A43" s="10" t="s">
        <v>15</v>
      </c>
      <c r="B43" s="13">
        <v>45</v>
      </c>
      <c r="C43" s="13">
        <v>45</v>
      </c>
      <c r="D43" s="13">
        <v>45</v>
      </c>
      <c r="E43" s="12">
        <v>250</v>
      </c>
      <c r="F43" s="12">
        <v>250</v>
      </c>
      <c r="G43" s="17">
        <v>250</v>
      </c>
      <c r="H43" s="21">
        <v>45</v>
      </c>
      <c r="I43" s="21">
        <v>45</v>
      </c>
      <c r="J43" s="21">
        <v>45</v>
      </c>
      <c r="K43" s="22">
        <v>250</v>
      </c>
      <c r="L43" s="12">
        <v>250</v>
      </c>
      <c r="M43" s="12">
        <v>250</v>
      </c>
    </row>
    <row r="44" spans="1:13" x14ac:dyDescent="0.35">
      <c r="A44" s="10" t="s">
        <v>16</v>
      </c>
      <c r="B44" s="11">
        <v>30</v>
      </c>
      <c r="C44" s="11">
        <v>30</v>
      </c>
      <c r="D44" s="11">
        <v>30</v>
      </c>
      <c r="E44" s="12">
        <v>500</v>
      </c>
      <c r="F44" s="12">
        <v>500</v>
      </c>
      <c r="G44" s="12">
        <v>500</v>
      </c>
      <c r="H44" s="23">
        <v>30</v>
      </c>
      <c r="I44" s="23">
        <v>30</v>
      </c>
      <c r="J44" s="23">
        <v>30</v>
      </c>
      <c r="K44" s="12">
        <v>500</v>
      </c>
      <c r="L44" s="12">
        <v>500</v>
      </c>
      <c r="M44" s="12">
        <v>500</v>
      </c>
    </row>
    <row r="45" spans="1:13" x14ac:dyDescent="0.35">
      <c r="A45" s="10" t="s">
        <v>17</v>
      </c>
      <c r="B45" s="11">
        <v>18</v>
      </c>
      <c r="C45" s="11">
        <v>18</v>
      </c>
      <c r="D45" s="11">
        <v>18</v>
      </c>
      <c r="E45" s="12"/>
      <c r="F45" s="12"/>
      <c r="G45" s="12"/>
      <c r="H45" s="11">
        <v>18</v>
      </c>
      <c r="I45" s="11">
        <v>18</v>
      </c>
      <c r="J45" s="11">
        <v>18</v>
      </c>
      <c r="K45" s="11">
        <v>9</v>
      </c>
      <c r="L45" s="11">
        <v>9</v>
      </c>
      <c r="M45" s="11">
        <v>9</v>
      </c>
    </row>
    <row r="46" spans="1:13" x14ac:dyDescent="0.35">
      <c r="A46" s="10" t="s">
        <v>18</v>
      </c>
      <c r="B46" s="11">
        <v>9</v>
      </c>
      <c r="C46" s="11">
        <v>9</v>
      </c>
      <c r="D46" s="11">
        <v>9</v>
      </c>
      <c r="E46" s="12"/>
      <c r="F46" s="12"/>
      <c r="G46" s="12"/>
      <c r="H46" s="11"/>
      <c r="I46" s="11"/>
      <c r="J46" s="11"/>
      <c r="K46" s="12"/>
      <c r="L46" s="12"/>
      <c r="M46" s="12"/>
    </row>
    <row r="47" spans="1:13" x14ac:dyDescent="0.35">
      <c r="A47" s="10" t="s">
        <v>19</v>
      </c>
      <c r="B47" s="11">
        <v>6</v>
      </c>
      <c r="C47" s="11">
        <v>6</v>
      </c>
      <c r="D47" s="11">
        <v>6</v>
      </c>
      <c r="E47" s="12"/>
      <c r="F47" s="12"/>
      <c r="G47" s="12"/>
      <c r="H47" s="11">
        <v>6</v>
      </c>
      <c r="I47" s="11">
        <v>6</v>
      </c>
      <c r="J47" s="11">
        <v>6</v>
      </c>
      <c r="K47" s="12"/>
      <c r="L47" s="12"/>
      <c r="M47" s="12"/>
    </row>
    <row r="48" spans="1:13" x14ac:dyDescent="0.35">
      <c r="A48" s="10" t="s">
        <v>20</v>
      </c>
      <c r="B48" s="11">
        <v>3</v>
      </c>
      <c r="C48" s="11">
        <v>3</v>
      </c>
      <c r="D48" s="11">
        <v>3</v>
      </c>
      <c r="E48" s="12"/>
      <c r="F48" s="12"/>
      <c r="G48" s="12"/>
      <c r="H48" s="11">
        <v>3</v>
      </c>
      <c r="I48" s="11">
        <v>3</v>
      </c>
      <c r="J48" s="11">
        <v>3</v>
      </c>
      <c r="K48" s="12"/>
      <c r="L48" s="12"/>
      <c r="M48" s="12"/>
    </row>
    <row r="49" spans="1:13" ht="17.25" customHeight="1" x14ac:dyDescent="0.35">
      <c r="A49" s="10" t="s">
        <v>21</v>
      </c>
      <c r="B49" s="11">
        <v>0.6</v>
      </c>
      <c r="C49" s="11">
        <v>0.6</v>
      </c>
      <c r="D49" s="11">
        <v>0.6</v>
      </c>
      <c r="E49" s="12">
        <v>0</v>
      </c>
      <c r="F49" s="12">
        <v>0</v>
      </c>
      <c r="G49" s="12">
        <v>0</v>
      </c>
      <c r="H49" s="11">
        <v>0.6</v>
      </c>
      <c r="I49" s="11">
        <v>0.6</v>
      </c>
      <c r="J49" s="11">
        <v>0.6</v>
      </c>
      <c r="K49" s="12">
        <v>0</v>
      </c>
      <c r="L49" s="12">
        <v>0</v>
      </c>
      <c r="M49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0F3A-6A13-4977-917C-1CC4C9CC5788}">
  <dimension ref="A1:M39"/>
  <sheetViews>
    <sheetView topLeftCell="A4" zoomScaleNormal="100" workbookViewId="0">
      <selection activeCell="P9" sqref="P9"/>
    </sheetView>
  </sheetViews>
  <sheetFormatPr defaultRowHeight="14.5" x14ac:dyDescent="0.35"/>
  <cols>
    <col min="1" max="1" width="11.26953125" customWidth="1"/>
    <col min="5" max="5" width="17" customWidth="1"/>
    <col min="6" max="7" width="19.54296875" customWidth="1"/>
    <col min="8" max="10" width="20.26953125" customWidth="1"/>
    <col min="11" max="13" width="16.81640625" customWidth="1"/>
  </cols>
  <sheetData>
    <row r="1" spans="1:13" x14ac:dyDescent="0.3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5">
      <c r="A2" s="8" t="s">
        <v>14</v>
      </c>
      <c r="B2" s="3">
        <v>0.183</v>
      </c>
      <c r="C2" s="3">
        <v>0.182</v>
      </c>
      <c r="D2" s="3">
        <v>0.17799999999999999</v>
      </c>
      <c r="E2" s="3">
        <v>4.1000000000000002E-2</v>
      </c>
      <c r="F2" s="3">
        <v>4.1000000000000002E-2</v>
      </c>
      <c r="G2" s="3">
        <v>4.1000000000000002E-2</v>
      </c>
      <c r="H2" s="3">
        <v>4.2000000000000003E-2</v>
      </c>
      <c r="I2" s="3">
        <v>4.2000000000000003E-2</v>
      </c>
      <c r="J2" s="3">
        <v>0.04</v>
      </c>
      <c r="K2" s="3">
        <v>0.04</v>
      </c>
      <c r="L2" s="3">
        <v>3.7999999999999999E-2</v>
      </c>
      <c r="M2" s="3">
        <v>0.04</v>
      </c>
    </row>
    <row r="3" spans="1:13" x14ac:dyDescent="0.35">
      <c r="A3" s="8" t="s">
        <v>15</v>
      </c>
      <c r="B3" s="3">
        <v>5.3999999999999999E-2</v>
      </c>
      <c r="C3" s="3">
        <v>5.8000000000000003E-2</v>
      </c>
      <c r="D3" s="3">
        <v>5.3999999999999999E-2</v>
      </c>
      <c r="E3" s="3">
        <v>4.2000000000000003E-2</v>
      </c>
      <c r="F3" s="3">
        <v>4.2999999999999997E-2</v>
      </c>
      <c r="G3" s="3">
        <v>4.1000000000000002E-2</v>
      </c>
      <c r="H3" s="3">
        <v>4.9000000000000002E-2</v>
      </c>
      <c r="I3" s="3">
        <v>4.8000000000000001E-2</v>
      </c>
      <c r="J3" s="3">
        <v>4.8000000000000001E-2</v>
      </c>
      <c r="K3" s="3">
        <v>4.1000000000000002E-2</v>
      </c>
      <c r="L3" s="3">
        <v>4.1000000000000002E-2</v>
      </c>
      <c r="M3" s="3">
        <v>4.2000000000000003E-2</v>
      </c>
    </row>
    <row r="4" spans="1:13" x14ac:dyDescent="0.35">
      <c r="A4" s="8" t="s">
        <v>16</v>
      </c>
      <c r="B4" s="3">
        <v>3.6999999999999998E-2</v>
      </c>
      <c r="C4" s="3">
        <v>3.7999999999999999E-2</v>
      </c>
      <c r="D4" s="3">
        <v>3.6999999999999998E-2</v>
      </c>
      <c r="E4" s="3">
        <v>4.2999999999999997E-2</v>
      </c>
      <c r="F4" s="3">
        <v>4.2000000000000003E-2</v>
      </c>
      <c r="G4" s="3">
        <v>4.1000000000000002E-2</v>
      </c>
      <c r="H4" s="3">
        <v>6.6000000000000003E-2</v>
      </c>
      <c r="I4" s="3">
        <v>6.4000000000000001E-2</v>
      </c>
      <c r="J4" s="3">
        <v>6.5000000000000002E-2</v>
      </c>
      <c r="K4" s="3">
        <v>0.04</v>
      </c>
      <c r="L4" s="3">
        <v>5.0999999999999997E-2</v>
      </c>
      <c r="M4" s="3">
        <v>4.2000000000000003E-2</v>
      </c>
    </row>
    <row r="5" spans="1:13" x14ac:dyDescent="0.35">
      <c r="A5" s="8" t="s">
        <v>17</v>
      </c>
      <c r="B5" s="3">
        <v>3.7999999999999999E-2</v>
      </c>
      <c r="C5" s="3">
        <v>3.7999999999999999E-2</v>
      </c>
      <c r="D5" s="3">
        <v>3.6999999999999998E-2</v>
      </c>
      <c r="E5" s="3">
        <v>4.1000000000000002E-2</v>
      </c>
      <c r="F5" s="3">
        <v>4.7E-2</v>
      </c>
      <c r="G5" s="3">
        <v>0.04</v>
      </c>
      <c r="H5" s="3">
        <v>5.5E-2</v>
      </c>
      <c r="I5" s="3">
        <v>6.4000000000000001E-2</v>
      </c>
      <c r="J5" s="3">
        <v>6.3E-2</v>
      </c>
      <c r="K5" s="3">
        <v>4.2999999999999997E-2</v>
      </c>
      <c r="L5" s="3">
        <v>4.4999999999999998E-2</v>
      </c>
      <c r="M5" s="3">
        <v>4.2999999999999997E-2</v>
      </c>
    </row>
    <row r="6" spans="1:13" x14ac:dyDescent="0.35">
      <c r="A6" s="8" t="s">
        <v>18</v>
      </c>
      <c r="B6" s="3">
        <v>0.04</v>
      </c>
      <c r="C6" s="3">
        <v>4.1000000000000002E-2</v>
      </c>
      <c r="D6" s="3">
        <v>0.04</v>
      </c>
      <c r="E6" s="3">
        <v>4.1000000000000002E-2</v>
      </c>
      <c r="F6" s="3">
        <v>4.2000000000000003E-2</v>
      </c>
      <c r="G6" s="3">
        <v>4.2000000000000003E-2</v>
      </c>
      <c r="H6" s="3">
        <v>7.2999999999999995E-2</v>
      </c>
      <c r="I6" s="3">
        <v>7.0000000000000007E-2</v>
      </c>
      <c r="J6" s="3">
        <v>6.2E-2</v>
      </c>
      <c r="K6" s="3">
        <v>5.1999999999999998E-2</v>
      </c>
      <c r="L6" s="3">
        <v>5.0999999999999997E-2</v>
      </c>
      <c r="M6" s="3">
        <v>5.0999999999999997E-2</v>
      </c>
    </row>
    <row r="7" spans="1:13" x14ac:dyDescent="0.35">
      <c r="A7" s="8" t="s">
        <v>19</v>
      </c>
      <c r="B7" s="3">
        <v>3.9E-2</v>
      </c>
      <c r="C7" s="3">
        <v>3.7999999999999999E-2</v>
      </c>
      <c r="D7" s="3">
        <v>3.7999999999999999E-2</v>
      </c>
      <c r="E7" s="3">
        <v>4.4999999999999998E-2</v>
      </c>
      <c r="F7" s="3">
        <v>4.2000000000000003E-2</v>
      </c>
      <c r="G7" s="3">
        <v>4.1000000000000002E-2</v>
      </c>
      <c r="H7" s="3">
        <v>6.0999999999999999E-2</v>
      </c>
      <c r="I7" s="3">
        <v>5.8999999999999997E-2</v>
      </c>
      <c r="J7" s="3">
        <v>5.8999999999999997E-2</v>
      </c>
      <c r="K7" s="3">
        <v>4.7E-2</v>
      </c>
      <c r="L7" s="3">
        <v>4.7E-2</v>
      </c>
      <c r="M7" s="3">
        <v>4.7E-2</v>
      </c>
    </row>
    <row r="8" spans="1:13" x14ac:dyDescent="0.35">
      <c r="A8" s="8" t="s">
        <v>20</v>
      </c>
      <c r="B8" s="3">
        <v>3.7999999999999999E-2</v>
      </c>
      <c r="C8" s="3">
        <v>3.6999999999999998E-2</v>
      </c>
      <c r="D8" s="3">
        <v>3.6999999999999998E-2</v>
      </c>
      <c r="E8" s="3">
        <v>4.1000000000000002E-2</v>
      </c>
      <c r="F8" s="3">
        <v>4.1000000000000002E-2</v>
      </c>
      <c r="G8" s="3">
        <v>4.1000000000000002E-2</v>
      </c>
      <c r="H8" s="3">
        <v>5.8999999999999997E-2</v>
      </c>
      <c r="I8" s="3">
        <v>6.3E-2</v>
      </c>
      <c r="J8" s="3">
        <v>6.4000000000000001E-2</v>
      </c>
      <c r="K8" s="3">
        <v>4.7E-2</v>
      </c>
      <c r="L8" s="3">
        <v>4.7E-2</v>
      </c>
      <c r="M8" s="3">
        <v>4.7E-2</v>
      </c>
    </row>
    <row r="9" spans="1:13" x14ac:dyDescent="0.35">
      <c r="A9" s="8" t="s">
        <v>21</v>
      </c>
      <c r="B9" s="3">
        <v>3.7999999999999999E-2</v>
      </c>
      <c r="C9" s="3">
        <v>3.6999999999999998E-2</v>
      </c>
      <c r="D9" s="3">
        <v>3.7999999999999999E-2</v>
      </c>
      <c r="E9" s="3">
        <v>4.3999999999999997E-2</v>
      </c>
      <c r="F9" s="3">
        <v>4.2999999999999997E-2</v>
      </c>
      <c r="G9" s="3">
        <v>4.2000000000000003E-2</v>
      </c>
      <c r="H9" s="3">
        <v>0.11700000000000001</v>
      </c>
      <c r="I9" s="3">
        <v>0.15</v>
      </c>
      <c r="J9" s="3">
        <v>0.14899999999999999</v>
      </c>
      <c r="K9" s="3">
        <v>4.7E-2</v>
      </c>
      <c r="L9" s="3">
        <v>4.7E-2</v>
      </c>
      <c r="M9" s="3">
        <v>4.7E-2</v>
      </c>
    </row>
    <row r="11" spans="1:13" x14ac:dyDescent="0.35">
      <c r="A11" s="7" t="s">
        <v>5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 x14ac:dyDescent="0.35">
      <c r="A12" s="8" t="s">
        <v>14</v>
      </c>
      <c r="B12" s="3">
        <v>0.31900000000000001</v>
      </c>
      <c r="C12" s="3">
        <v>0.30399999999999999</v>
      </c>
      <c r="D12" s="3">
        <v>0.28399999999999997</v>
      </c>
      <c r="E12" s="3">
        <v>4.2999999999999997E-2</v>
      </c>
      <c r="F12" s="3">
        <v>4.2999999999999997E-2</v>
      </c>
      <c r="G12" s="3">
        <v>4.3999999999999997E-2</v>
      </c>
      <c r="H12" s="3">
        <v>4.3999999999999997E-2</v>
      </c>
      <c r="I12" s="3">
        <v>4.2999999999999997E-2</v>
      </c>
      <c r="J12" s="3">
        <v>4.2000000000000003E-2</v>
      </c>
      <c r="K12" s="3">
        <v>4.2000000000000003E-2</v>
      </c>
      <c r="L12" s="3">
        <v>4.1000000000000002E-2</v>
      </c>
      <c r="M12" s="3">
        <v>4.1000000000000002E-2</v>
      </c>
    </row>
    <row r="13" spans="1:13" x14ac:dyDescent="0.35">
      <c r="A13" s="8" t="s">
        <v>15</v>
      </c>
      <c r="B13" s="3">
        <v>7.2999999999999995E-2</v>
      </c>
      <c r="C13" s="3">
        <v>8.2000000000000003E-2</v>
      </c>
      <c r="D13" s="3">
        <v>7.2999999999999995E-2</v>
      </c>
      <c r="E13" s="3">
        <v>4.2999999999999997E-2</v>
      </c>
      <c r="F13" s="3">
        <v>4.4999999999999998E-2</v>
      </c>
      <c r="G13" s="3">
        <v>4.3999999999999997E-2</v>
      </c>
      <c r="H13" s="3">
        <v>5.1999999999999998E-2</v>
      </c>
      <c r="I13" s="3">
        <v>5.0999999999999997E-2</v>
      </c>
      <c r="J13" s="3">
        <v>0.05</v>
      </c>
      <c r="K13" s="3">
        <v>4.3999999999999997E-2</v>
      </c>
      <c r="L13" s="3">
        <v>4.3999999999999997E-2</v>
      </c>
      <c r="M13" s="3">
        <v>4.2999999999999997E-2</v>
      </c>
    </row>
    <row r="14" spans="1:13" x14ac:dyDescent="0.35">
      <c r="A14" s="8" t="s">
        <v>16</v>
      </c>
      <c r="B14" s="3">
        <v>0.04</v>
      </c>
      <c r="C14" s="3">
        <v>0.04</v>
      </c>
      <c r="D14" s="3">
        <v>0.04</v>
      </c>
      <c r="E14" s="3">
        <v>4.3999999999999997E-2</v>
      </c>
      <c r="F14" s="3">
        <v>4.5999999999999999E-2</v>
      </c>
      <c r="G14" s="3">
        <v>4.3999999999999997E-2</v>
      </c>
      <c r="H14" s="3">
        <v>6.9000000000000006E-2</v>
      </c>
      <c r="I14" s="3">
        <v>7.0999999999999994E-2</v>
      </c>
      <c r="J14" s="3">
        <v>7.0000000000000007E-2</v>
      </c>
      <c r="K14" s="3">
        <v>4.3999999999999997E-2</v>
      </c>
      <c r="L14" s="3">
        <v>5.2999999999999999E-2</v>
      </c>
      <c r="M14" s="3">
        <v>4.2999999999999997E-2</v>
      </c>
    </row>
    <row r="15" spans="1:13" x14ac:dyDescent="0.35">
      <c r="A15" s="8" t="s">
        <v>17</v>
      </c>
      <c r="B15" s="3">
        <v>3.7999999999999999E-2</v>
      </c>
      <c r="C15" s="3">
        <v>3.7999999999999999E-2</v>
      </c>
      <c r="D15" s="3">
        <v>3.7999999999999999E-2</v>
      </c>
      <c r="E15" s="3">
        <v>4.3999999999999997E-2</v>
      </c>
      <c r="F15" s="3">
        <v>4.9000000000000002E-2</v>
      </c>
      <c r="G15" s="3">
        <v>4.2999999999999997E-2</v>
      </c>
      <c r="H15" s="3">
        <v>6.4000000000000001E-2</v>
      </c>
      <c r="I15" s="3">
        <v>7.0000000000000007E-2</v>
      </c>
      <c r="J15" s="3">
        <v>7.0000000000000007E-2</v>
      </c>
      <c r="K15" s="3">
        <v>4.7E-2</v>
      </c>
      <c r="L15" s="3">
        <v>4.8000000000000001E-2</v>
      </c>
      <c r="M15" s="3">
        <v>4.8000000000000001E-2</v>
      </c>
    </row>
    <row r="16" spans="1:13" x14ac:dyDescent="0.35">
      <c r="A16" s="8" t="s">
        <v>18</v>
      </c>
      <c r="B16" s="3">
        <v>0.186</v>
      </c>
      <c r="C16" s="3">
        <v>0.183</v>
      </c>
      <c r="D16" s="3">
        <v>0.184</v>
      </c>
      <c r="E16" s="3">
        <v>4.2999999999999997E-2</v>
      </c>
      <c r="F16" s="3">
        <v>4.3999999999999997E-2</v>
      </c>
      <c r="G16" s="3">
        <v>4.3999999999999997E-2</v>
      </c>
      <c r="H16" s="3">
        <v>7.3999999999999996E-2</v>
      </c>
      <c r="I16" s="3">
        <v>7.2999999999999995E-2</v>
      </c>
      <c r="J16" s="3">
        <v>7.0999999999999994E-2</v>
      </c>
      <c r="K16" s="3">
        <v>5.5E-2</v>
      </c>
      <c r="L16" s="3">
        <v>5.5E-2</v>
      </c>
      <c r="M16" s="3">
        <v>5.5E-2</v>
      </c>
    </row>
    <row r="17" spans="1:13" x14ac:dyDescent="0.35">
      <c r="A17" s="8" t="s">
        <v>19</v>
      </c>
      <c r="B17" s="3">
        <v>6.3E-2</v>
      </c>
      <c r="C17" s="3">
        <v>5.8999999999999997E-2</v>
      </c>
      <c r="D17" s="3">
        <v>5.1999999999999998E-2</v>
      </c>
      <c r="E17" s="3">
        <v>4.3999999999999997E-2</v>
      </c>
      <c r="F17" s="3">
        <v>4.3999999999999997E-2</v>
      </c>
      <c r="G17" s="3">
        <v>4.3999999999999997E-2</v>
      </c>
      <c r="H17" s="3">
        <v>6.6000000000000003E-2</v>
      </c>
      <c r="I17" s="3">
        <v>6.8000000000000005E-2</v>
      </c>
      <c r="J17" s="3">
        <v>7.0999999999999994E-2</v>
      </c>
      <c r="K17" s="3">
        <v>4.7E-2</v>
      </c>
      <c r="L17" s="3">
        <v>4.8000000000000001E-2</v>
      </c>
      <c r="M17" s="3">
        <v>4.8000000000000001E-2</v>
      </c>
    </row>
    <row r="18" spans="1:13" x14ac:dyDescent="0.35">
      <c r="A18" s="8" t="s">
        <v>20</v>
      </c>
      <c r="B18" s="3">
        <v>4.1000000000000002E-2</v>
      </c>
      <c r="C18" s="3">
        <v>0.04</v>
      </c>
      <c r="D18" s="3">
        <v>4.1000000000000002E-2</v>
      </c>
      <c r="E18" s="3">
        <v>4.5999999999999999E-2</v>
      </c>
      <c r="F18" s="3">
        <v>4.3999999999999997E-2</v>
      </c>
      <c r="G18" s="3">
        <v>4.4999999999999998E-2</v>
      </c>
      <c r="H18" s="3">
        <v>6.6000000000000003E-2</v>
      </c>
      <c r="I18" s="3">
        <v>6.7000000000000004E-2</v>
      </c>
      <c r="J18" s="3">
        <v>6.8000000000000005E-2</v>
      </c>
      <c r="K18" s="3">
        <v>4.7E-2</v>
      </c>
      <c r="L18" s="3">
        <v>4.8000000000000001E-2</v>
      </c>
      <c r="M18" s="3">
        <v>4.7E-2</v>
      </c>
    </row>
    <row r="19" spans="1:13" x14ac:dyDescent="0.35">
      <c r="A19" s="8" t="s">
        <v>21</v>
      </c>
      <c r="B19" s="3">
        <v>3.7999999999999999E-2</v>
      </c>
      <c r="C19" s="3">
        <v>3.7999999999999999E-2</v>
      </c>
      <c r="D19" s="3">
        <v>3.9E-2</v>
      </c>
      <c r="E19" s="3">
        <v>4.5999999999999999E-2</v>
      </c>
      <c r="F19" s="3">
        <v>4.4999999999999998E-2</v>
      </c>
      <c r="G19" s="3">
        <v>4.3999999999999997E-2</v>
      </c>
      <c r="H19" s="3">
        <v>0.14899999999999999</v>
      </c>
      <c r="I19" s="3">
        <v>0.14899999999999999</v>
      </c>
      <c r="J19" s="3">
        <v>0.152</v>
      </c>
      <c r="K19" s="3">
        <v>4.7E-2</v>
      </c>
      <c r="L19" s="3">
        <v>4.7E-2</v>
      </c>
      <c r="M19" s="3">
        <v>4.7E-2</v>
      </c>
    </row>
    <row r="21" spans="1:13" x14ac:dyDescent="0.35">
      <c r="A21" s="9" t="s">
        <v>22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ht="25" x14ac:dyDescent="0.35">
      <c r="A22" s="10" t="s">
        <v>14</v>
      </c>
      <c r="B22" s="11" t="s">
        <v>61</v>
      </c>
      <c r="C22" s="11" t="s">
        <v>61</v>
      </c>
      <c r="D22" s="11" t="s">
        <v>61</v>
      </c>
      <c r="E22" s="12" t="s">
        <v>29</v>
      </c>
      <c r="F22" s="12" t="s">
        <v>29</v>
      </c>
      <c r="G22" s="12" t="s">
        <v>29</v>
      </c>
      <c r="H22" s="12" t="s">
        <v>39</v>
      </c>
      <c r="I22" s="12" t="s">
        <v>39</v>
      </c>
      <c r="J22" s="12" t="s">
        <v>39</v>
      </c>
      <c r="K22" s="12" t="s">
        <v>56</v>
      </c>
      <c r="L22" s="12" t="s">
        <v>56</v>
      </c>
      <c r="M22" s="12" t="s">
        <v>56</v>
      </c>
    </row>
    <row r="23" spans="1:13" ht="25" x14ac:dyDescent="0.35">
      <c r="A23" s="10" t="s">
        <v>15</v>
      </c>
      <c r="B23" s="11" t="s">
        <v>65</v>
      </c>
      <c r="C23" s="11" t="s">
        <v>65</v>
      </c>
      <c r="D23" s="11" t="s">
        <v>65</v>
      </c>
      <c r="E23" s="12" t="s">
        <v>30</v>
      </c>
      <c r="F23" s="12" t="s">
        <v>30</v>
      </c>
      <c r="G23" s="12" t="s">
        <v>30</v>
      </c>
      <c r="H23" s="12" t="s">
        <v>40</v>
      </c>
      <c r="I23" s="12" t="s">
        <v>40</v>
      </c>
      <c r="J23" s="12" t="s">
        <v>40</v>
      </c>
      <c r="K23" s="12" t="s">
        <v>57</v>
      </c>
      <c r="L23" s="12" t="s">
        <v>57</v>
      </c>
      <c r="M23" s="12" t="s">
        <v>57</v>
      </c>
    </row>
    <row r="24" spans="1:13" ht="25" x14ac:dyDescent="0.35">
      <c r="A24" s="10" t="s">
        <v>16</v>
      </c>
      <c r="B24" s="11" t="s">
        <v>68</v>
      </c>
      <c r="C24" s="11" t="s">
        <v>68</v>
      </c>
      <c r="D24" s="11" t="s">
        <v>68</v>
      </c>
      <c r="E24" s="12" t="s">
        <v>31</v>
      </c>
      <c r="F24" s="12" t="s">
        <v>31</v>
      </c>
      <c r="G24" s="12" t="s">
        <v>31</v>
      </c>
      <c r="H24" s="12" t="s">
        <v>41</v>
      </c>
      <c r="I24" s="12" t="s">
        <v>41</v>
      </c>
      <c r="J24" s="12" t="s">
        <v>41</v>
      </c>
      <c r="K24" s="12" t="s">
        <v>58</v>
      </c>
      <c r="L24" s="12" t="s">
        <v>58</v>
      </c>
      <c r="M24" s="12" t="s">
        <v>58</v>
      </c>
    </row>
    <row r="25" spans="1:13" ht="25" x14ac:dyDescent="0.35">
      <c r="A25" s="10" t="s">
        <v>17</v>
      </c>
      <c r="B25" s="11" t="s">
        <v>26</v>
      </c>
      <c r="C25" s="11" t="s">
        <v>26</v>
      </c>
      <c r="D25" s="11" t="s">
        <v>26</v>
      </c>
      <c r="E25" s="12" t="s">
        <v>32</v>
      </c>
      <c r="F25" s="12" t="s">
        <v>32</v>
      </c>
      <c r="G25" s="12" t="s">
        <v>32</v>
      </c>
      <c r="H25" s="12" t="s">
        <v>42</v>
      </c>
      <c r="I25" s="12" t="s">
        <v>42</v>
      </c>
      <c r="J25" s="12" t="s">
        <v>42</v>
      </c>
      <c r="K25" s="12" t="s">
        <v>59</v>
      </c>
      <c r="L25" s="12" t="s">
        <v>59</v>
      </c>
      <c r="M25" s="12" t="s">
        <v>59</v>
      </c>
    </row>
    <row r="26" spans="1:13" ht="25" x14ac:dyDescent="0.35">
      <c r="A26" s="10" t="s">
        <v>18</v>
      </c>
      <c r="B26" s="11" t="s">
        <v>72</v>
      </c>
      <c r="C26" s="11" t="s">
        <v>72</v>
      </c>
      <c r="D26" s="11" t="s">
        <v>72</v>
      </c>
      <c r="E26" s="12" t="s">
        <v>33</v>
      </c>
      <c r="F26" s="12" t="s">
        <v>33</v>
      </c>
      <c r="G26" s="12" t="s">
        <v>33</v>
      </c>
      <c r="H26" s="12" t="s">
        <v>43</v>
      </c>
      <c r="I26" s="12" t="s">
        <v>43</v>
      </c>
      <c r="J26" s="12" t="s">
        <v>43</v>
      </c>
      <c r="K26" s="12" t="s">
        <v>60</v>
      </c>
      <c r="L26" s="12" t="s">
        <v>60</v>
      </c>
      <c r="M26" s="12" t="s">
        <v>60</v>
      </c>
    </row>
    <row r="27" spans="1:13" ht="25" x14ac:dyDescent="0.35">
      <c r="A27" s="10" t="s">
        <v>19</v>
      </c>
      <c r="B27" s="11" t="s">
        <v>76</v>
      </c>
      <c r="C27" s="11" t="s">
        <v>76</v>
      </c>
      <c r="D27" s="11" t="s">
        <v>76</v>
      </c>
      <c r="E27" s="24" t="s">
        <v>34</v>
      </c>
      <c r="F27" s="24" t="s">
        <v>34</v>
      </c>
      <c r="G27" s="24" t="s">
        <v>34</v>
      </c>
      <c r="H27" s="12" t="s">
        <v>43</v>
      </c>
      <c r="I27" s="12" t="s">
        <v>43</v>
      </c>
      <c r="J27" s="12" t="s">
        <v>43</v>
      </c>
      <c r="K27" s="12" t="s">
        <v>23</v>
      </c>
      <c r="L27" s="12" t="s">
        <v>23</v>
      </c>
      <c r="M27" s="12" t="s">
        <v>23</v>
      </c>
    </row>
    <row r="28" spans="1:13" ht="25" x14ac:dyDescent="0.35">
      <c r="A28" s="10" t="s">
        <v>20</v>
      </c>
      <c r="B28" s="11" t="s">
        <v>79</v>
      </c>
      <c r="C28" s="11" t="s">
        <v>79</v>
      </c>
      <c r="D28" s="11" t="s">
        <v>79</v>
      </c>
      <c r="E28" s="12" t="s">
        <v>35</v>
      </c>
      <c r="F28" s="12" t="s">
        <v>35</v>
      </c>
      <c r="G28" s="12" t="s">
        <v>35</v>
      </c>
      <c r="H28" s="12" t="s">
        <v>44</v>
      </c>
      <c r="I28" s="12" t="s">
        <v>44</v>
      </c>
      <c r="J28" s="12" t="s">
        <v>44</v>
      </c>
      <c r="K28" s="12" t="s">
        <v>23</v>
      </c>
      <c r="L28" s="12" t="s">
        <v>23</v>
      </c>
      <c r="M28" s="12" t="s">
        <v>23</v>
      </c>
    </row>
    <row r="29" spans="1:13" ht="25" x14ac:dyDescent="0.35">
      <c r="A29" s="10" t="s">
        <v>21</v>
      </c>
      <c r="B29" s="11" t="s">
        <v>26</v>
      </c>
      <c r="C29" s="11" t="s">
        <v>26</v>
      </c>
      <c r="D29" s="11" t="s">
        <v>26</v>
      </c>
      <c r="E29" s="12" t="s">
        <v>38</v>
      </c>
      <c r="F29" s="12" t="s">
        <v>38</v>
      </c>
      <c r="G29" s="12" t="s">
        <v>38</v>
      </c>
      <c r="H29" s="12" t="s">
        <v>45</v>
      </c>
      <c r="I29" s="12" t="s">
        <v>45</v>
      </c>
      <c r="J29" s="12" t="s">
        <v>45</v>
      </c>
      <c r="K29" s="12" t="s">
        <v>23</v>
      </c>
      <c r="L29" s="12" t="s">
        <v>23</v>
      </c>
      <c r="M29" s="12" t="s">
        <v>23</v>
      </c>
    </row>
    <row r="31" spans="1:13" x14ac:dyDescent="0.35">
      <c r="A31" s="9" t="s">
        <v>24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16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18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19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20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21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39AC-C7BB-4579-8257-5CAD41051B24}">
  <dimension ref="A1:M39"/>
  <sheetViews>
    <sheetView zoomScaleNormal="100" workbookViewId="0">
      <selection activeCell="F24" sqref="F24"/>
    </sheetView>
  </sheetViews>
  <sheetFormatPr defaultRowHeight="14.5" x14ac:dyDescent="0.35"/>
  <cols>
    <col min="1" max="1" width="11.26953125" customWidth="1"/>
    <col min="5" max="7" width="31.26953125" customWidth="1"/>
    <col min="8" max="8" width="27.54296875" customWidth="1"/>
    <col min="9" max="9" width="25.26953125" customWidth="1"/>
    <col min="10" max="10" width="25.1796875" customWidth="1"/>
  </cols>
  <sheetData>
    <row r="1" spans="1:13" x14ac:dyDescent="0.35">
      <c r="A1" s="7" t="s">
        <v>4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5">
      <c r="A2" s="8" t="s">
        <v>14</v>
      </c>
      <c r="B2" s="3">
        <v>0.187</v>
      </c>
      <c r="C2" s="3">
        <v>0.214</v>
      </c>
      <c r="D2" s="3">
        <v>0.16</v>
      </c>
      <c r="E2" s="3">
        <v>3.6999999999999998E-2</v>
      </c>
      <c r="F2" s="3">
        <v>3.6999999999999998E-2</v>
      </c>
      <c r="G2" s="3">
        <v>3.7999999999999999E-2</v>
      </c>
      <c r="H2" s="3">
        <v>4.7E-2</v>
      </c>
      <c r="I2" s="3">
        <v>4.8000000000000001E-2</v>
      </c>
      <c r="J2" s="3">
        <v>4.7E-2</v>
      </c>
      <c r="K2" s="3">
        <v>4.7E-2</v>
      </c>
      <c r="L2" s="3">
        <v>4.8000000000000001E-2</v>
      </c>
      <c r="M2" s="3">
        <v>4.7E-2</v>
      </c>
    </row>
    <row r="3" spans="1:13" x14ac:dyDescent="0.35">
      <c r="A3" s="8" t="s">
        <v>15</v>
      </c>
      <c r="B3" s="3">
        <v>5.3999999999999999E-2</v>
      </c>
      <c r="C3" s="3">
        <v>0.06</v>
      </c>
      <c r="D3" s="3">
        <v>5.6000000000000001E-2</v>
      </c>
      <c r="E3" s="3">
        <v>3.7999999999999999E-2</v>
      </c>
      <c r="F3" s="3">
        <v>3.9E-2</v>
      </c>
      <c r="G3" s="3">
        <v>3.7999999999999999E-2</v>
      </c>
      <c r="H3" s="3">
        <v>4.8000000000000001E-2</v>
      </c>
      <c r="I3" s="3">
        <v>4.7E-2</v>
      </c>
      <c r="J3" s="3">
        <v>4.7E-2</v>
      </c>
      <c r="K3" s="3">
        <v>4.8000000000000001E-2</v>
      </c>
      <c r="L3" s="3">
        <v>4.7E-2</v>
      </c>
      <c r="M3" s="3">
        <v>4.7E-2</v>
      </c>
    </row>
    <row r="4" spans="1:13" x14ac:dyDescent="0.35">
      <c r="A4" s="8" t="s">
        <v>16</v>
      </c>
      <c r="B4" s="3">
        <v>3.7999999999999999E-2</v>
      </c>
      <c r="C4" s="3">
        <v>3.7999999999999999E-2</v>
      </c>
      <c r="D4" s="3">
        <v>3.7999999999999999E-2</v>
      </c>
      <c r="E4" s="3">
        <v>4.4999999999999998E-2</v>
      </c>
      <c r="F4" s="3">
        <v>4.5999999999999999E-2</v>
      </c>
      <c r="G4" s="3">
        <v>4.4999999999999998E-2</v>
      </c>
      <c r="H4" s="3">
        <v>4.7E-2</v>
      </c>
      <c r="I4" s="3">
        <v>4.7E-2</v>
      </c>
      <c r="J4" s="3">
        <v>4.7E-2</v>
      </c>
      <c r="K4" s="3">
        <v>4.7E-2</v>
      </c>
      <c r="L4" s="3">
        <v>4.7E-2</v>
      </c>
      <c r="M4" s="3">
        <v>4.7E-2</v>
      </c>
    </row>
    <row r="5" spans="1:13" x14ac:dyDescent="0.35">
      <c r="A5" s="8" t="s">
        <v>17</v>
      </c>
      <c r="B5" s="3">
        <v>3.7999999999999999E-2</v>
      </c>
      <c r="C5" s="3">
        <v>3.7999999999999999E-2</v>
      </c>
      <c r="D5" s="3">
        <v>3.7999999999999999E-2</v>
      </c>
      <c r="E5" s="3">
        <v>4.5999999999999999E-2</v>
      </c>
      <c r="F5" s="3">
        <v>4.3999999999999997E-2</v>
      </c>
      <c r="G5" s="3">
        <v>4.3999999999999997E-2</v>
      </c>
      <c r="H5" s="3">
        <v>4.7E-2</v>
      </c>
      <c r="I5" s="3">
        <v>4.7E-2</v>
      </c>
      <c r="J5" s="3">
        <v>4.8000000000000001E-2</v>
      </c>
      <c r="K5" s="3">
        <v>4.7E-2</v>
      </c>
      <c r="L5" s="3">
        <v>4.7E-2</v>
      </c>
      <c r="M5" s="3">
        <v>4.7E-2</v>
      </c>
    </row>
    <row r="6" spans="1:13" x14ac:dyDescent="0.35">
      <c r="A6" s="8" t="s">
        <v>18</v>
      </c>
      <c r="B6" s="3">
        <v>4.1000000000000002E-2</v>
      </c>
      <c r="C6" s="3">
        <v>4.1000000000000002E-2</v>
      </c>
      <c r="D6" s="3">
        <v>0.04</v>
      </c>
      <c r="E6" s="3">
        <v>4.5999999999999999E-2</v>
      </c>
      <c r="F6" s="3">
        <v>4.4999999999999998E-2</v>
      </c>
      <c r="G6" s="3">
        <v>4.4999999999999998E-2</v>
      </c>
      <c r="H6" s="3">
        <v>4.7E-2</v>
      </c>
      <c r="I6" s="3">
        <v>4.7E-2</v>
      </c>
      <c r="J6" s="3">
        <v>4.7E-2</v>
      </c>
      <c r="K6" s="3">
        <v>4.7E-2</v>
      </c>
      <c r="L6" s="3">
        <v>4.7E-2</v>
      </c>
      <c r="M6" s="3">
        <v>4.8000000000000001E-2</v>
      </c>
    </row>
    <row r="7" spans="1:13" x14ac:dyDescent="0.35">
      <c r="A7" s="8" t="s">
        <v>19</v>
      </c>
      <c r="B7" s="3">
        <v>3.9E-2</v>
      </c>
      <c r="C7" s="3">
        <v>3.9E-2</v>
      </c>
      <c r="D7" s="3">
        <v>3.7999999999999999E-2</v>
      </c>
      <c r="E7" s="3">
        <v>4.4999999999999998E-2</v>
      </c>
      <c r="F7" s="3">
        <v>4.5999999999999999E-2</v>
      </c>
      <c r="G7" s="3">
        <v>4.4999999999999998E-2</v>
      </c>
      <c r="H7" s="3">
        <v>4.7E-2</v>
      </c>
      <c r="I7" s="3">
        <v>4.7E-2</v>
      </c>
      <c r="J7" s="3">
        <v>4.7E-2</v>
      </c>
      <c r="K7" s="3">
        <v>4.9000000000000002E-2</v>
      </c>
      <c r="L7" s="3">
        <v>4.7E-2</v>
      </c>
      <c r="M7" s="3">
        <v>4.7E-2</v>
      </c>
    </row>
    <row r="8" spans="1:13" x14ac:dyDescent="0.35">
      <c r="A8" s="8" t="s">
        <v>20</v>
      </c>
      <c r="B8" s="3">
        <v>3.7999999999999999E-2</v>
      </c>
      <c r="C8" s="3">
        <v>3.7999999999999999E-2</v>
      </c>
      <c r="D8" s="3">
        <v>3.7999999999999999E-2</v>
      </c>
      <c r="E8" s="3">
        <v>4.3999999999999997E-2</v>
      </c>
      <c r="F8" s="3">
        <v>4.3999999999999997E-2</v>
      </c>
      <c r="G8" s="3">
        <v>4.3999999999999997E-2</v>
      </c>
      <c r="H8" s="3">
        <v>4.7E-2</v>
      </c>
      <c r="I8" s="3">
        <v>4.7E-2</v>
      </c>
      <c r="J8" s="3">
        <v>4.7E-2</v>
      </c>
      <c r="K8" s="3">
        <v>4.7E-2</v>
      </c>
      <c r="L8" s="3">
        <v>4.7E-2</v>
      </c>
      <c r="M8" s="3">
        <v>4.7E-2</v>
      </c>
    </row>
    <row r="9" spans="1:13" x14ac:dyDescent="0.35">
      <c r="A9" s="8" t="s">
        <v>21</v>
      </c>
      <c r="B9" s="3">
        <v>3.7999999999999999E-2</v>
      </c>
      <c r="C9" s="3">
        <v>3.7999999999999999E-2</v>
      </c>
      <c r="D9" s="3">
        <v>3.6999999999999998E-2</v>
      </c>
      <c r="E9" s="3">
        <v>0.14000000000000001</v>
      </c>
      <c r="F9" s="3">
        <v>0.14899999999999999</v>
      </c>
      <c r="G9" s="3">
        <v>0.14499999999999999</v>
      </c>
      <c r="H9" s="3">
        <v>4.7E-2</v>
      </c>
      <c r="I9" s="3">
        <v>4.7E-2</v>
      </c>
      <c r="J9" s="3">
        <v>4.7E-2</v>
      </c>
      <c r="K9" s="3">
        <v>4.7E-2</v>
      </c>
      <c r="L9" s="3">
        <v>4.7E-2</v>
      </c>
      <c r="M9" s="3">
        <v>4.7E-2</v>
      </c>
    </row>
    <row r="11" spans="1:13" x14ac:dyDescent="0.35">
      <c r="A11" s="7" t="s">
        <v>5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 x14ac:dyDescent="0.35">
      <c r="A12" s="8" t="s">
        <v>14</v>
      </c>
      <c r="B12" s="3">
        <v>0.34200000000000003</v>
      </c>
      <c r="C12" s="3">
        <v>0.32200000000000001</v>
      </c>
      <c r="D12" s="3">
        <v>0.26500000000000001</v>
      </c>
      <c r="E12" s="3">
        <v>0.04</v>
      </c>
      <c r="F12" s="3">
        <v>0.04</v>
      </c>
      <c r="G12" s="3">
        <v>0.04</v>
      </c>
      <c r="H12" s="3">
        <v>4.7E-2</v>
      </c>
      <c r="I12" s="3">
        <v>4.8000000000000001E-2</v>
      </c>
      <c r="J12" s="3">
        <v>4.7E-2</v>
      </c>
      <c r="K12" s="3">
        <v>4.7E-2</v>
      </c>
      <c r="L12" s="3">
        <v>4.7E-2</v>
      </c>
      <c r="M12" s="3">
        <v>4.7E-2</v>
      </c>
    </row>
    <row r="13" spans="1:13" x14ac:dyDescent="0.35">
      <c r="A13" s="8" t="s">
        <v>15</v>
      </c>
      <c r="B13" s="3">
        <v>7.0999999999999994E-2</v>
      </c>
      <c r="C13" s="3">
        <v>0.08</v>
      </c>
      <c r="D13" s="3">
        <v>7.3999999999999996E-2</v>
      </c>
      <c r="E13" s="3">
        <v>4.4999999999999998E-2</v>
      </c>
      <c r="F13" s="3">
        <v>4.8000000000000001E-2</v>
      </c>
      <c r="G13" s="3">
        <v>4.7E-2</v>
      </c>
      <c r="H13" s="3">
        <v>4.8000000000000001E-2</v>
      </c>
      <c r="I13" s="3">
        <v>4.7E-2</v>
      </c>
      <c r="J13" s="3">
        <v>4.7E-2</v>
      </c>
      <c r="K13" s="3">
        <v>4.7E-2</v>
      </c>
      <c r="L13" s="3">
        <v>4.8000000000000001E-2</v>
      </c>
      <c r="M13" s="3">
        <v>4.7E-2</v>
      </c>
    </row>
    <row r="14" spans="1:13" x14ac:dyDescent="0.35">
      <c r="A14" s="8" t="s">
        <v>16</v>
      </c>
      <c r="B14" s="3">
        <v>0.04</v>
      </c>
      <c r="C14" s="3">
        <v>0.04</v>
      </c>
      <c r="D14" s="3">
        <v>3.9E-2</v>
      </c>
      <c r="E14" s="3">
        <v>0.05</v>
      </c>
      <c r="F14" s="3">
        <v>0.05</v>
      </c>
      <c r="G14" s="3">
        <v>4.9000000000000002E-2</v>
      </c>
      <c r="H14" s="3">
        <v>4.7E-2</v>
      </c>
      <c r="I14" s="3">
        <v>4.7E-2</v>
      </c>
      <c r="J14" s="3">
        <v>4.7E-2</v>
      </c>
      <c r="K14" s="3">
        <v>4.7E-2</v>
      </c>
      <c r="L14" s="3">
        <v>4.7E-2</v>
      </c>
      <c r="M14" s="3">
        <v>4.7E-2</v>
      </c>
    </row>
    <row r="15" spans="1:13" x14ac:dyDescent="0.35">
      <c r="A15" s="8" t="s">
        <v>17</v>
      </c>
      <c r="B15" s="3">
        <v>3.7999999999999999E-2</v>
      </c>
      <c r="C15" s="3">
        <v>3.7999999999999999E-2</v>
      </c>
      <c r="D15" s="3">
        <v>3.9E-2</v>
      </c>
      <c r="E15" s="3">
        <v>4.9000000000000002E-2</v>
      </c>
      <c r="F15" s="3">
        <v>4.5999999999999999E-2</v>
      </c>
      <c r="G15" s="3">
        <v>4.7E-2</v>
      </c>
      <c r="H15" s="3">
        <v>4.7E-2</v>
      </c>
      <c r="I15" s="3">
        <v>4.7E-2</v>
      </c>
      <c r="J15" s="3">
        <v>4.8000000000000001E-2</v>
      </c>
      <c r="K15" s="3">
        <v>4.7E-2</v>
      </c>
      <c r="L15" s="3">
        <v>4.7E-2</v>
      </c>
      <c r="M15" s="3">
        <v>4.7E-2</v>
      </c>
    </row>
    <row r="16" spans="1:13" x14ac:dyDescent="0.35">
      <c r="A16" s="8" t="s">
        <v>18</v>
      </c>
      <c r="B16" s="3">
        <v>0.18099999999999999</v>
      </c>
      <c r="C16" s="3">
        <v>0.17599999999999999</v>
      </c>
      <c r="D16" s="3">
        <v>0.19</v>
      </c>
      <c r="E16" s="3">
        <v>0.05</v>
      </c>
      <c r="F16" s="3">
        <v>4.8000000000000001E-2</v>
      </c>
      <c r="G16" s="3">
        <v>4.9000000000000002E-2</v>
      </c>
      <c r="H16" s="3">
        <v>4.7E-2</v>
      </c>
      <c r="I16" s="3">
        <v>4.7E-2</v>
      </c>
      <c r="J16" s="3">
        <v>4.7E-2</v>
      </c>
      <c r="K16" s="3">
        <v>4.7E-2</v>
      </c>
      <c r="L16" s="3">
        <v>4.7E-2</v>
      </c>
      <c r="M16" s="3">
        <v>4.8000000000000001E-2</v>
      </c>
    </row>
    <row r="17" spans="1:13" x14ac:dyDescent="0.35">
      <c r="A17" s="8" t="s">
        <v>19</v>
      </c>
      <c r="B17" s="3">
        <v>7.2999999999999995E-2</v>
      </c>
      <c r="C17" s="3">
        <v>6.5000000000000002E-2</v>
      </c>
      <c r="D17" s="3">
        <v>5.1999999999999998E-2</v>
      </c>
      <c r="E17" s="3">
        <v>4.9000000000000002E-2</v>
      </c>
      <c r="F17" s="3">
        <v>4.8000000000000001E-2</v>
      </c>
      <c r="G17" s="3">
        <v>0.05</v>
      </c>
      <c r="H17" s="3">
        <v>4.7E-2</v>
      </c>
      <c r="I17" s="3">
        <v>4.7E-2</v>
      </c>
      <c r="J17" s="3">
        <v>4.7E-2</v>
      </c>
      <c r="K17" s="3">
        <v>4.9000000000000002E-2</v>
      </c>
      <c r="L17" s="3">
        <v>4.7E-2</v>
      </c>
      <c r="M17" s="3">
        <v>4.7E-2</v>
      </c>
    </row>
    <row r="18" spans="1:13" x14ac:dyDescent="0.35">
      <c r="A18" s="8" t="s">
        <v>20</v>
      </c>
      <c r="B18" s="3">
        <v>0.04</v>
      </c>
      <c r="C18" s="3">
        <v>3.9E-2</v>
      </c>
      <c r="D18" s="3">
        <v>3.9E-2</v>
      </c>
      <c r="E18" s="3">
        <v>4.9000000000000002E-2</v>
      </c>
      <c r="F18" s="3">
        <v>4.7E-2</v>
      </c>
      <c r="G18" s="3">
        <v>4.7E-2</v>
      </c>
      <c r="H18" s="3">
        <v>4.7E-2</v>
      </c>
      <c r="I18" s="3">
        <v>4.7E-2</v>
      </c>
      <c r="J18" s="3">
        <v>4.7E-2</v>
      </c>
      <c r="K18" s="3">
        <v>4.7E-2</v>
      </c>
      <c r="L18" s="3">
        <v>4.7E-2</v>
      </c>
      <c r="M18" s="3">
        <v>4.7E-2</v>
      </c>
    </row>
    <row r="19" spans="1:13" x14ac:dyDescent="0.35">
      <c r="A19" s="8" t="s">
        <v>21</v>
      </c>
      <c r="B19" s="3">
        <v>3.7999999999999999E-2</v>
      </c>
      <c r="C19" s="3">
        <v>3.7999999999999999E-2</v>
      </c>
      <c r="D19" s="3">
        <v>3.7999999999999999E-2</v>
      </c>
      <c r="E19" s="3">
        <v>0.17599999999999999</v>
      </c>
      <c r="F19" s="3">
        <v>0.184</v>
      </c>
      <c r="G19" s="3">
        <v>0.19900000000000001</v>
      </c>
      <c r="H19" s="3">
        <v>4.7E-2</v>
      </c>
      <c r="I19" s="3">
        <v>4.7E-2</v>
      </c>
      <c r="J19" s="3">
        <v>4.7E-2</v>
      </c>
      <c r="K19" s="3">
        <v>4.7E-2</v>
      </c>
      <c r="L19" s="3">
        <v>4.7E-2</v>
      </c>
      <c r="M19" s="3">
        <v>4.7E-2</v>
      </c>
    </row>
    <row r="21" spans="1:13" x14ac:dyDescent="0.35">
      <c r="A21" s="9" t="s">
        <v>22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ht="25" x14ac:dyDescent="0.35">
      <c r="A22" s="10" t="s">
        <v>14</v>
      </c>
      <c r="B22" s="11" t="s">
        <v>61</v>
      </c>
      <c r="C22" s="11" t="s">
        <v>61</v>
      </c>
      <c r="D22" s="11" t="s">
        <v>61</v>
      </c>
      <c r="E22" s="12" t="s">
        <v>47</v>
      </c>
      <c r="F22" s="12" t="s">
        <v>47</v>
      </c>
      <c r="G22" s="12" t="s">
        <v>47</v>
      </c>
      <c r="H22" s="12" t="s">
        <v>23</v>
      </c>
      <c r="I22" s="12" t="s">
        <v>23</v>
      </c>
      <c r="J22" s="12" t="s">
        <v>23</v>
      </c>
      <c r="K22" s="12" t="s">
        <v>23</v>
      </c>
      <c r="L22" s="12" t="s">
        <v>23</v>
      </c>
      <c r="M22" s="12" t="s">
        <v>23</v>
      </c>
    </row>
    <row r="23" spans="1:13" ht="25" x14ac:dyDescent="0.35">
      <c r="A23" s="10" t="s">
        <v>15</v>
      </c>
      <c r="B23" s="11" t="s">
        <v>65</v>
      </c>
      <c r="C23" s="11" t="s">
        <v>65</v>
      </c>
      <c r="D23" s="11" t="s">
        <v>65</v>
      </c>
      <c r="E23" s="12" t="s">
        <v>48</v>
      </c>
      <c r="F23" s="12" t="s">
        <v>48</v>
      </c>
      <c r="G23" s="12" t="s">
        <v>48</v>
      </c>
      <c r="H23" s="12" t="s">
        <v>23</v>
      </c>
      <c r="I23" s="12" t="s">
        <v>23</v>
      </c>
      <c r="J23" s="12" t="s">
        <v>23</v>
      </c>
      <c r="K23" s="12" t="s">
        <v>23</v>
      </c>
      <c r="L23" s="12" t="s">
        <v>23</v>
      </c>
      <c r="M23" s="12" t="s">
        <v>23</v>
      </c>
    </row>
    <row r="24" spans="1:13" ht="25" x14ac:dyDescent="0.35">
      <c r="A24" s="10" t="s">
        <v>16</v>
      </c>
      <c r="B24" s="11" t="s">
        <v>68</v>
      </c>
      <c r="C24" s="11" t="s">
        <v>68</v>
      </c>
      <c r="D24" s="11" t="s">
        <v>68</v>
      </c>
      <c r="E24" s="12" t="s">
        <v>49</v>
      </c>
      <c r="F24" s="12" t="s">
        <v>49</v>
      </c>
      <c r="G24" s="12" t="s">
        <v>49</v>
      </c>
      <c r="H24" s="12" t="s">
        <v>23</v>
      </c>
      <c r="I24" s="12" t="s">
        <v>23</v>
      </c>
      <c r="J24" s="12" t="s">
        <v>23</v>
      </c>
      <c r="K24" s="12" t="s">
        <v>23</v>
      </c>
      <c r="L24" s="12" t="s">
        <v>23</v>
      </c>
      <c r="M24" s="12" t="s">
        <v>23</v>
      </c>
    </row>
    <row r="25" spans="1:13" ht="25" x14ac:dyDescent="0.35">
      <c r="A25" s="10" t="s">
        <v>17</v>
      </c>
      <c r="B25" s="11" t="s">
        <v>26</v>
      </c>
      <c r="C25" s="11" t="s">
        <v>26</v>
      </c>
      <c r="D25" s="11" t="s">
        <v>26</v>
      </c>
      <c r="E25" s="12" t="s">
        <v>50</v>
      </c>
      <c r="F25" s="12" t="s">
        <v>50</v>
      </c>
      <c r="G25" s="12" t="s">
        <v>50</v>
      </c>
      <c r="H25" s="12" t="s">
        <v>23</v>
      </c>
      <c r="I25" s="12" t="s">
        <v>23</v>
      </c>
      <c r="J25" s="12" t="s">
        <v>23</v>
      </c>
      <c r="K25" s="12" t="s">
        <v>23</v>
      </c>
      <c r="L25" s="12" t="s">
        <v>23</v>
      </c>
      <c r="M25" s="12" t="s">
        <v>23</v>
      </c>
    </row>
    <row r="26" spans="1:13" ht="25" x14ac:dyDescent="0.35">
      <c r="A26" s="10" t="s">
        <v>18</v>
      </c>
      <c r="B26" s="11" t="s">
        <v>72</v>
      </c>
      <c r="C26" s="11" t="s">
        <v>72</v>
      </c>
      <c r="D26" s="11" t="s">
        <v>72</v>
      </c>
      <c r="E26" s="12" t="s">
        <v>51</v>
      </c>
      <c r="F26" s="12" t="s">
        <v>51</v>
      </c>
      <c r="G26" s="12" t="s">
        <v>51</v>
      </c>
      <c r="H26" s="12" t="s">
        <v>23</v>
      </c>
      <c r="I26" s="12" t="s">
        <v>23</v>
      </c>
      <c r="J26" s="12" t="s">
        <v>23</v>
      </c>
      <c r="K26" s="12" t="s">
        <v>23</v>
      </c>
      <c r="L26" s="12" t="s">
        <v>23</v>
      </c>
      <c r="M26" s="12" t="s">
        <v>23</v>
      </c>
    </row>
    <row r="27" spans="1:13" ht="25" x14ac:dyDescent="0.35">
      <c r="A27" s="10" t="s">
        <v>19</v>
      </c>
      <c r="B27" s="11" t="s">
        <v>76</v>
      </c>
      <c r="C27" s="11" t="s">
        <v>76</v>
      </c>
      <c r="D27" s="11" t="s">
        <v>76</v>
      </c>
      <c r="E27" s="12" t="s">
        <v>52</v>
      </c>
      <c r="F27" s="12" t="s">
        <v>52</v>
      </c>
      <c r="G27" s="12" t="s">
        <v>52</v>
      </c>
      <c r="H27" s="12" t="s">
        <v>23</v>
      </c>
      <c r="I27" s="12" t="s">
        <v>23</v>
      </c>
      <c r="J27" s="12" t="s">
        <v>23</v>
      </c>
      <c r="K27" s="12" t="s">
        <v>23</v>
      </c>
      <c r="L27" s="12" t="s">
        <v>23</v>
      </c>
      <c r="M27" s="12" t="s">
        <v>23</v>
      </c>
    </row>
    <row r="28" spans="1:13" ht="25" x14ac:dyDescent="0.35">
      <c r="A28" s="10" t="s">
        <v>20</v>
      </c>
      <c r="B28" s="11" t="s">
        <v>79</v>
      </c>
      <c r="C28" s="11" t="s">
        <v>79</v>
      </c>
      <c r="D28" s="11" t="s">
        <v>79</v>
      </c>
      <c r="E28" s="12" t="s">
        <v>53</v>
      </c>
      <c r="F28" s="12" t="s">
        <v>53</v>
      </c>
      <c r="G28" s="12" t="s">
        <v>53</v>
      </c>
      <c r="H28" s="12" t="s">
        <v>23</v>
      </c>
      <c r="I28" s="12" t="s">
        <v>23</v>
      </c>
      <c r="J28" s="12" t="s">
        <v>23</v>
      </c>
      <c r="K28" s="12" t="s">
        <v>23</v>
      </c>
      <c r="L28" s="12" t="s">
        <v>23</v>
      </c>
      <c r="M28" s="12" t="s">
        <v>23</v>
      </c>
    </row>
    <row r="29" spans="1:13" ht="25" x14ac:dyDescent="0.35">
      <c r="A29" s="10" t="s">
        <v>21</v>
      </c>
      <c r="B29" s="11" t="s">
        <v>26</v>
      </c>
      <c r="C29" s="11" t="s">
        <v>26</v>
      </c>
      <c r="D29" s="11" t="s">
        <v>26</v>
      </c>
      <c r="E29" s="12" t="s">
        <v>54</v>
      </c>
      <c r="F29" s="12" t="s">
        <v>54</v>
      </c>
      <c r="G29" s="12" t="s">
        <v>54</v>
      </c>
      <c r="H29" s="12" t="s">
        <v>23</v>
      </c>
      <c r="I29" s="12" t="s">
        <v>23</v>
      </c>
      <c r="J29" s="12" t="s">
        <v>23</v>
      </c>
      <c r="K29" s="12" t="s">
        <v>23</v>
      </c>
      <c r="L29" s="12" t="s">
        <v>23</v>
      </c>
      <c r="M29" s="12" t="s">
        <v>23</v>
      </c>
    </row>
    <row r="31" spans="1:13" x14ac:dyDescent="0.35">
      <c r="A31" s="9" t="s">
        <v>24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16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18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19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20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21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98667d-8817-4ad9-a7f2-bb287f867e5f}" enabled="0" method="" siteId="{a698667d-8817-4ad9-a7f2-bb287f867e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STDS CHK</vt:lpstr>
      <vt:lpstr>Pastes</vt:lpstr>
      <vt:lpstr>STDS</vt:lpstr>
      <vt:lpstr>Samples1</vt:lpstr>
      <vt:lpstr>Samples2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2023-06-08T17:28:03Z</dcterms:created>
  <dcterms:modified xsi:type="dcterms:W3CDTF">2024-10-21T20:55:57Z</dcterms:modified>
</cp:coreProperties>
</file>