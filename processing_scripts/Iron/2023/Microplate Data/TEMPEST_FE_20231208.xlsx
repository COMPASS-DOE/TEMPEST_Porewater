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hmo\OneDrive - University of Delaware - o365\PhD\Data\TEMPEST\Porewater\"/>
    </mc:Choice>
  </mc:AlternateContent>
  <xr:revisionPtr revIDLastSave="0" documentId="13_ncr:1_{96574DBF-F7E8-402D-8D20-96E9036E7EAC}" xr6:coauthVersionLast="47" xr6:coauthVersionMax="47" xr10:uidLastSave="{00000000-0000-0000-0000-000000000000}"/>
  <bookViews>
    <workbookView minimized="1" xWindow="-2450" yWindow="2380" windowWidth="14450" windowHeight="7370" activeTab="3" xr2:uid="{3C70F900-5AE2-4121-9D3D-495ECF1128CC}"/>
  </bookViews>
  <sheets>
    <sheet name="Read Me" sheetId="5" r:id="rId1"/>
    <sheet name="Lab Check" sheetId="2" r:id="rId2"/>
    <sheet name="Lab pasting" sheetId="12" r:id="rId3"/>
    <sheet name="STDs Template" sheetId="1" r:id="rId4"/>
    <sheet name="Plate 1" sheetId="1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8" i="2" l="1"/>
  <c r="O21" i="2"/>
  <c r="B3" i="2"/>
  <c r="P16" i="11"/>
  <c r="O16" i="11"/>
  <c r="P7" i="11"/>
  <c r="Q17" i="11" s="1"/>
  <c r="P8" i="11"/>
  <c r="Q18" i="11" s="1"/>
  <c r="P9" i="11"/>
  <c r="Q19" i="11" s="1"/>
  <c r="P6" i="11"/>
  <c r="P17" i="11"/>
  <c r="P18" i="11"/>
  <c r="P19" i="11"/>
  <c r="O7" i="11"/>
  <c r="O8" i="11"/>
  <c r="O9" i="11"/>
  <c r="O6" i="11"/>
  <c r="O17" i="11"/>
  <c r="O18" i="11"/>
  <c r="O19" i="11"/>
  <c r="O12" i="2"/>
  <c r="O13" i="2"/>
  <c r="B5" i="2"/>
  <c r="O28" i="2"/>
  <c r="B12" i="2"/>
  <c r="Q35" i="2"/>
  <c r="R35" i="2"/>
  <c r="P35" i="2"/>
  <c r="O29" i="2"/>
  <c r="O27" i="2"/>
  <c r="O26" i="2"/>
  <c r="O25" i="2"/>
  <c r="O24" i="2"/>
  <c r="O23" i="2"/>
  <c r="O22" i="2"/>
  <c r="O20" i="2"/>
  <c r="O19" i="2"/>
  <c r="O14" i="2"/>
  <c r="O11" i="2"/>
  <c r="O10" i="2"/>
  <c r="O9" i="2"/>
  <c r="O8" i="2"/>
  <c r="O7" i="2"/>
  <c r="O6" i="2"/>
  <c r="O5" i="2"/>
  <c r="O4" i="2"/>
  <c r="O3" i="2"/>
  <c r="B29" i="2"/>
  <c r="B28" i="2"/>
  <c r="B27" i="2"/>
  <c r="B26" i="2"/>
  <c r="B25" i="2"/>
  <c r="B24" i="2"/>
  <c r="B23" i="2"/>
  <c r="B22" i="2"/>
  <c r="B21" i="2"/>
  <c r="B20" i="2"/>
  <c r="B19" i="2"/>
  <c r="B18" i="2"/>
  <c r="B14" i="2"/>
  <c r="B13" i="2"/>
  <c r="B11" i="2"/>
  <c r="B10" i="2"/>
  <c r="B9" i="2"/>
  <c r="B8" i="2"/>
  <c r="B7" i="2"/>
  <c r="B6" i="2"/>
  <c r="B4" i="2"/>
  <c r="Q16" i="11" l="1"/>
</calcChain>
</file>

<file path=xl/sharedStrings.xml><?xml version="1.0" encoding="utf-8"?>
<sst xmlns="http://schemas.openxmlformats.org/spreadsheetml/2006/main" count="381" uniqueCount="88">
  <si>
    <t>Abs1</t>
  </si>
  <si>
    <t>A</t>
  </si>
  <si>
    <t>B</t>
  </si>
  <si>
    <t>C</t>
  </si>
  <si>
    <t>D</t>
  </si>
  <si>
    <t>E</t>
  </si>
  <si>
    <t>F</t>
  </si>
  <si>
    <t>G</t>
  </si>
  <si>
    <t>H</t>
  </si>
  <si>
    <t>Abs2</t>
  </si>
  <si>
    <t>IDs</t>
  </si>
  <si>
    <t>Dilutions</t>
  </si>
  <si>
    <t>Conc_uM</t>
  </si>
  <si>
    <t>FeII Stds</t>
  </si>
  <si>
    <t>Avg Abs</t>
  </si>
  <si>
    <t>As3</t>
  </si>
  <si>
    <t>FeIII Stds</t>
  </si>
  <si>
    <t xml:space="preserve">First Run of the Plate (Fe2 read) </t>
  </si>
  <si>
    <t xml:space="preserve">Second Run of the Plate (Fe Total read) </t>
  </si>
  <si>
    <t>Red. Eff</t>
  </si>
  <si>
    <t>60 uM fe(III)</t>
  </si>
  <si>
    <t xml:space="preserve">&gt;85% </t>
  </si>
  <si>
    <t>E1</t>
  </si>
  <si>
    <t>E2</t>
  </si>
  <si>
    <t>E3</t>
  </si>
  <si>
    <t>NA</t>
  </si>
  <si>
    <t>This sheet is to be used to organize and prepare Iron microplate data for calculation</t>
  </si>
  <si>
    <t xml:space="preserve">Lab Check: </t>
  </si>
  <si>
    <t xml:space="preserve">This sheet is used to check that standards and reduction efficiencies are good while running samples in the lab </t>
  </si>
  <si>
    <t xml:space="preserve">Lab Pasting: </t>
  </si>
  <si>
    <t xml:space="preserve">This sheet is used to paste microplate data from the Gen5 software so that it can be worked with and checked during runs </t>
  </si>
  <si>
    <t xml:space="preserve">STDs Template: </t>
  </si>
  <si>
    <t xml:space="preserve">This sheet is a template to paste your FE absorbance data into; you should also fill out the IDS and Dilutions here - this should be saved as a csv and will serve as your standards sheet in the analysis code </t>
  </si>
  <si>
    <t xml:space="preserve">If you have multiple standards plates you can save them as separate csv files and combine them in R </t>
  </si>
  <si>
    <t xml:space="preserve">Samples Template: </t>
  </si>
  <si>
    <t xml:space="preserve">This sheet is a template to paste your FE absorbance data into; you should also fill out the IDS and Dilutions here - this should be saved as a csv and will serve as your samples sheet in the analysis code </t>
  </si>
  <si>
    <t xml:space="preserve">If you have multiple plates you can save them as separate csv files and then you can combine data in R or run one analysis code per plate (whatever works best for you)  </t>
  </si>
  <si>
    <t>Updated: 06-01-2023 by Stephanie J. Wilson</t>
  </si>
  <si>
    <t>stds2</t>
  </si>
  <si>
    <t>S1</t>
  </si>
  <si>
    <t>S2</t>
  </si>
  <si>
    <t>Stds1</t>
  </si>
  <si>
    <t>samples1</t>
  </si>
  <si>
    <t>samples2</t>
  </si>
  <si>
    <t>FW_E3_20231002</t>
  </si>
  <si>
    <t>FW_D5_20231002</t>
  </si>
  <si>
    <t>FW_H3_20231002</t>
  </si>
  <si>
    <t>FW_I5_20231002</t>
  </si>
  <si>
    <t>SW_C3_20231002</t>
  </si>
  <si>
    <t>SW_D5_20231002</t>
  </si>
  <si>
    <t>SW_F6_20231002</t>
  </si>
  <si>
    <t>SW_H3_20231002</t>
  </si>
  <si>
    <t>SW_F6_202311</t>
  </si>
  <si>
    <t>C_H3_20231002</t>
  </si>
  <si>
    <t>C_I5_20231002</t>
  </si>
  <si>
    <t>C_15_20231002_dup</t>
  </si>
  <si>
    <t>AQUIFER_A</t>
  </si>
  <si>
    <t>AQUIFER_A_spk</t>
  </si>
  <si>
    <t>AQUIFER_B</t>
  </si>
  <si>
    <t>AQUIFER_C</t>
  </si>
  <si>
    <t>avg abs 2</t>
  </si>
  <si>
    <t>avg abs 1</t>
  </si>
  <si>
    <t>Fe 2 concentration</t>
  </si>
  <si>
    <t xml:space="preserve">Total Fe </t>
  </si>
  <si>
    <t xml:space="preserve">Fe 3 </t>
  </si>
  <si>
    <t>Fe_2_60 uM</t>
  </si>
  <si>
    <t>Fe_2_45 uM</t>
  </si>
  <si>
    <t>Fe_2_30 uM</t>
  </si>
  <si>
    <t>Fe_2_18 uM</t>
  </si>
  <si>
    <t>Fe_2_9 uM</t>
  </si>
  <si>
    <t>Fe_2_6 uM</t>
  </si>
  <si>
    <t>Fe_2_3 uM</t>
  </si>
  <si>
    <t>Fe_2_0.6 uM</t>
  </si>
  <si>
    <t>Fe_2_100_uM</t>
  </si>
  <si>
    <t>Fe_2_250 uM</t>
  </si>
  <si>
    <t>Fe_2_500 uM</t>
  </si>
  <si>
    <t>0.5 M HCl</t>
  </si>
  <si>
    <t>Fe_3_60 uM</t>
  </si>
  <si>
    <t>Fe_3_45 uM</t>
  </si>
  <si>
    <t>Fe_3_30 uM</t>
  </si>
  <si>
    <t>Fe_3_18 uM</t>
  </si>
  <si>
    <t>Fe_3_9 uM</t>
  </si>
  <si>
    <t>Fe_3_6 uM</t>
  </si>
  <si>
    <t>Fe_3_3 uM</t>
  </si>
  <si>
    <t>Fe_3_0.6 uM</t>
  </si>
  <si>
    <t>Fe_3_100 uM</t>
  </si>
  <si>
    <t>Fe_3_250 uM</t>
  </si>
  <si>
    <t>Fe_3_500 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</si>
</sst>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7"/>
      <color rgb="FF00000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A78BA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0" fillId="6" borderId="0" xfId="0" applyFill="1"/>
    <xf numFmtId="0" fontId="3" fillId="7" borderId="0" xfId="0" applyFont="1" applyFill="1" applyAlignment="1">
      <alignment horizontal="center" vertical="center" wrapText="1"/>
    </xf>
    <xf numFmtId="0" fontId="0" fillId="7" borderId="0" xfId="0" applyFill="1"/>
    <xf numFmtId="2" fontId="0" fillId="8" borderId="0" xfId="0" applyNumberFormat="1" applyFill="1"/>
    <xf numFmtId="0" fontId="6" fillId="0" borderId="0" xfId="0" applyFont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/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657669334543057E-2"/>
                  <c:y val="-8.22449420134672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Check'!$A$3:$A$11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Check'!$B$3:$B$11</c:f>
              <c:numCache>
                <c:formatCode>General</c:formatCode>
                <c:ptCount val="9"/>
                <c:pt idx="0">
                  <c:v>0.1555</c:v>
                </c:pt>
                <c:pt idx="1">
                  <c:v>0.12133333333333333</c:v>
                </c:pt>
                <c:pt idx="2">
                  <c:v>0.10366666666666668</c:v>
                </c:pt>
                <c:pt idx="3">
                  <c:v>7.7333333333333323E-2</c:v>
                </c:pt>
                <c:pt idx="4">
                  <c:v>5.6333333333333339E-2</c:v>
                </c:pt>
                <c:pt idx="5">
                  <c:v>4.933333333333334E-2</c:v>
                </c:pt>
                <c:pt idx="6">
                  <c:v>4.3000000000000003E-2</c:v>
                </c:pt>
                <c:pt idx="7">
                  <c:v>0.04</c:v>
                </c:pt>
                <c:pt idx="8">
                  <c:v>0.23033333333333336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CB-420C-BFCC-AFB06D10D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</a:t>
            </a:r>
            <a:r>
              <a:rPr lang="en-US" baseline="0"/>
              <a:t> Fe II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9344359593241801E-3"/>
                  <c:y val="-2.835355285961874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Check'!$A$11:$A$14</c:f>
              <c:numCache>
                <c:formatCode>General</c:formatCode>
                <c:ptCount val="4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  <c:pt idx="3">
                  <c:v>0</c:v>
                </c:pt>
              </c:numCache>
            </c:numRef>
          </c:xVal>
          <c:yVal>
            <c:numRef>
              <c:f>'Lab Check'!$B$11:$B$14</c:f>
              <c:numCache>
                <c:formatCode>General</c:formatCode>
                <c:ptCount val="4"/>
                <c:pt idx="0">
                  <c:v>0.23033333333333336</c:v>
                </c:pt>
                <c:pt idx="1">
                  <c:v>0.50866666666666671</c:v>
                </c:pt>
                <c:pt idx="2">
                  <c:v>0.86833333333333318</c:v>
                </c:pt>
                <c:pt idx="3">
                  <c:v>3.833333333333333E-2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3B9-4D51-9C8C-B04A745A5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139320"/>
        <c:axId val="350145080"/>
      </c:scatterChart>
      <c:valAx>
        <c:axId val="35013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45080"/>
        <c:crosses val="autoZero"/>
        <c:crossBetween val="midCat"/>
      </c:valAx>
      <c:valAx>
        <c:axId val="350145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139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Check'!$N$3:$N$11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Check'!$O$3:$O$11</c:f>
              <c:numCache>
                <c:formatCode>General</c:formatCode>
                <c:ptCount val="9"/>
                <c:pt idx="0">
                  <c:v>0.29833333333333328</c:v>
                </c:pt>
                <c:pt idx="1">
                  <c:v>0.22833333333333336</c:v>
                </c:pt>
                <c:pt idx="2">
                  <c:v>0.17766666666666667</c:v>
                </c:pt>
                <c:pt idx="3">
                  <c:v>0.11266666666666665</c:v>
                </c:pt>
                <c:pt idx="4">
                  <c:v>7.9333333333333325E-2</c:v>
                </c:pt>
                <c:pt idx="5">
                  <c:v>6.4666666666666664E-2</c:v>
                </c:pt>
                <c:pt idx="6">
                  <c:v>5.0333333333333341E-2</c:v>
                </c:pt>
                <c:pt idx="7">
                  <c:v>4.1333333333333333E-2</c:v>
                </c:pt>
                <c:pt idx="8">
                  <c:v>0.42166666666666669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5-4360-A883-7460D6FA9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Check'!$N$11:$N$13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Check'!$O$11:$O$13</c:f>
              <c:numCache>
                <c:formatCode>General</c:formatCode>
                <c:ptCount val="3"/>
                <c:pt idx="0">
                  <c:v>0.42166666666666669</c:v>
                </c:pt>
                <c:pt idx="1">
                  <c:v>0.66333333333333344</c:v>
                </c:pt>
                <c:pt idx="2">
                  <c:v>1.0236666666666667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30-4A44-A1A5-151C93C07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Check'!$N$18:$N$26</c:f>
              <c:numCache>
                <c:formatCode>General</c:formatCode>
                <c:ptCount val="9"/>
                <c:pt idx="0">
                  <c:v>60</c:v>
                </c:pt>
                <c:pt idx="1">
                  <c:v>45</c:v>
                </c:pt>
                <c:pt idx="2">
                  <c:v>30</c:v>
                </c:pt>
                <c:pt idx="3">
                  <c:v>18</c:v>
                </c:pt>
                <c:pt idx="4">
                  <c:v>9</c:v>
                </c:pt>
                <c:pt idx="5">
                  <c:v>6</c:v>
                </c:pt>
                <c:pt idx="6">
                  <c:v>3</c:v>
                </c:pt>
                <c:pt idx="7">
                  <c:v>0.6</c:v>
                </c:pt>
                <c:pt idx="8">
                  <c:v>100</c:v>
                </c:pt>
              </c:numCache>
            </c:numRef>
          </c:xVal>
          <c:yVal>
            <c:numRef>
              <c:f>'Lab Check'!$O$18:$O$26</c:f>
              <c:numCache>
                <c:formatCode>General</c:formatCode>
                <c:ptCount val="9"/>
                <c:pt idx="0">
                  <c:v>0.1565</c:v>
                </c:pt>
                <c:pt idx="1">
                  <c:v>0.14066666666666669</c:v>
                </c:pt>
                <c:pt idx="2">
                  <c:v>0.10766666666666665</c:v>
                </c:pt>
                <c:pt idx="3">
                  <c:v>7.5000000000000011E-2</c:v>
                </c:pt>
                <c:pt idx="4">
                  <c:v>5.8333333333333327E-2</c:v>
                </c:pt>
                <c:pt idx="5">
                  <c:v>5.2333333333333336E-2</c:v>
                </c:pt>
                <c:pt idx="6">
                  <c:v>4.5333333333333337E-2</c:v>
                </c:pt>
                <c:pt idx="7">
                  <c:v>4.0333333333333332E-2</c:v>
                </c:pt>
                <c:pt idx="8">
                  <c:v>0.23033333333333331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A1-471E-9A5E-8C2E693EB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'Lab Check'!$O$2</c:f>
              <c:strCache>
                <c:ptCount val="1"/>
                <c:pt idx="0">
                  <c:v>Avg Abs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5828612255087019"/>
                  <c:y val="-2.876165366207052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'Lab Check'!$N$26:$N$28</c:f>
              <c:numCache>
                <c:formatCode>General</c:formatCode>
                <c:ptCount val="3"/>
                <c:pt idx="0">
                  <c:v>100</c:v>
                </c:pt>
                <c:pt idx="1">
                  <c:v>250</c:v>
                </c:pt>
                <c:pt idx="2">
                  <c:v>500</c:v>
                </c:pt>
              </c:numCache>
            </c:numRef>
          </c:xVal>
          <c:yVal>
            <c:numRef>
              <c:f>'Lab Check'!$O$26:$O$28</c:f>
              <c:numCache>
                <c:formatCode>General</c:formatCode>
                <c:ptCount val="3"/>
                <c:pt idx="0">
                  <c:v>0.23033333333333331</c:v>
                </c:pt>
                <c:pt idx="1">
                  <c:v>0.32400000000000001</c:v>
                </c:pt>
                <c:pt idx="2">
                  <c:v>0.31900000000000001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1A-4C7D-B85C-AA0AF33DBB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207312"/>
        <c:axId val="447900728"/>
      </c:scatterChart>
      <c:valAx>
        <c:axId val="198207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0728"/>
        <c:crosses val="autoZero"/>
        <c:crossBetween val="midCat"/>
      </c:valAx>
      <c:valAx>
        <c:axId val="44790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0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</xdr:row>
      <xdr:rowOff>104776</xdr:rowOff>
    </xdr:from>
    <xdr:to>
      <xdr:col>8</xdr:col>
      <xdr:colOff>571500</xdr:colOff>
      <xdr:row>11</xdr:row>
      <xdr:rowOff>66675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E28377D-13F9-3787-7B28-C2111CBC6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0</xdr:row>
      <xdr:rowOff>133350</xdr:rowOff>
    </xdr:from>
    <xdr:to>
      <xdr:col>12</xdr:col>
      <xdr:colOff>123825</xdr:colOff>
      <xdr:row>10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F0655C2-1EA9-4811-8B0F-4E6A2FA4C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252412</xdr:colOff>
      <xdr:row>2</xdr:row>
      <xdr:rowOff>76200</xdr:rowOff>
    </xdr:from>
    <xdr:to>
      <xdr:col>23</xdr:col>
      <xdr:colOff>457200</xdr:colOff>
      <xdr:row>13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ED0193D-CA6F-589B-CA8D-8B7E5D2DB9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600075</xdr:colOff>
      <xdr:row>2</xdr:row>
      <xdr:rowOff>152400</xdr:rowOff>
    </xdr:from>
    <xdr:to>
      <xdr:col>29</xdr:col>
      <xdr:colOff>195263</xdr:colOff>
      <xdr:row>13</xdr:row>
      <xdr:rowOff>161925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F83E57-792B-4657-ACC2-3B5495328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466725</xdr:colOff>
      <xdr:row>17</xdr:row>
      <xdr:rowOff>38100</xdr:rowOff>
    </xdr:from>
    <xdr:to>
      <xdr:col>24</xdr:col>
      <xdr:colOff>61913</xdr:colOff>
      <xdr:row>28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289CDAF-0054-437B-9EC0-E896DCE9AF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219075</xdr:colOff>
      <xdr:row>17</xdr:row>
      <xdr:rowOff>104775</xdr:rowOff>
    </xdr:from>
    <xdr:to>
      <xdr:col>29</xdr:col>
      <xdr:colOff>423863</xdr:colOff>
      <xdr:row>28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F7F538C-7AE9-48A6-AC8F-735E9B430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E8F39-E2D4-4065-BEA3-84CEA0E14388}">
  <sheetPr codeName="Sheet1"/>
  <dimension ref="A1:D11"/>
  <sheetViews>
    <sheetView workbookViewId="0">
      <selection activeCell="H28" sqref="H28"/>
    </sheetView>
  </sheetViews>
  <sheetFormatPr defaultRowHeight="14.5" x14ac:dyDescent="0.35"/>
  <sheetData>
    <row r="1" spans="1:4" x14ac:dyDescent="0.35">
      <c r="A1" t="s">
        <v>37</v>
      </c>
    </row>
    <row r="4" spans="1:4" x14ac:dyDescent="0.35">
      <c r="B4" t="s">
        <v>26</v>
      </c>
    </row>
    <row r="6" spans="1:4" x14ac:dyDescent="0.35">
      <c r="B6" t="s">
        <v>27</v>
      </c>
      <c r="D6" t="s">
        <v>28</v>
      </c>
    </row>
    <row r="7" spans="1:4" x14ac:dyDescent="0.35">
      <c r="B7" t="s">
        <v>29</v>
      </c>
      <c r="D7" t="s">
        <v>30</v>
      </c>
    </row>
    <row r="8" spans="1:4" x14ac:dyDescent="0.35">
      <c r="B8" t="s">
        <v>31</v>
      </c>
      <c r="D8" t="s">
        <v>32</v>
      </c>
    </row>
    <row r="9" spans="1:4" x14ac:dyDescent="0.35">
      <c r="D9" t="s">
        <v>33</v>
      </c>
    </row>
    <row r="10" spans="1:4" x14ac:dyDescent="0.35">
      <c r="B10" t="s">
        <v>34</v>
      </c>
      <c r="D10" t="s">
        <v>35</v>
      </c>
    </row>
    <row r="11" spans="1:4" x14ac:dyDescent="0.35">
      <c r="D1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F35D-FBA0-4DAC-9A7D-96D0AA14AEA1}">
  <sheetPr codeName="Sheet2"/>
  <dimension ref="A1:Y35"/>
  <sheetViews>
    <sheetView topLeftCell="A7" workbookViewId="0">
      <selection activeCell="O19" sqref="O19"/>
    </sheetView>
  </sheetViews>
  <sheetFormatPr defaultRowHeight="14.5" x14ac:dyDescent="0.35"/>
  <cols>
    <col min="13" max="13" width="5.7265625" style="14" customWidth="1"/>
  </cols>
  <sheetData>
    <row r="1" spans="1:25" x14ac:dyDescent="0.35">
      <c r="A1" s="21" t="s">
        <v>17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N1" s="22" t="s">
        <v>18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x14ac:dyDescent="0.35">
      <c r="A2" s="13" t="s">
        <v>13</v>
      </c>
      <c r="B2" s="13" t="s">
        <v>14</v>
      </c>
      <c r="C2" s="13" t="s">
        <v>0</v>
      </c>
      <c r="D2" s="13" t="s">
        <v>9</v>
      </c>
      <c r="E2" s="13" t="s">
        <v>15</v>
      </c>
      <c r="N2" s="13" t="s">
        <v>13</v>
      </c>
      <c r="O2" s="13" t="s">
        <v>14</v>
      </c>
      <c r="P2" s="13" t="s">
        <v>0</v>
      </c>
      <c r="Q2" s="13" t="s">
        <v>9</v>
      </c>
      <c r="R2" s="13" t="s">
        <v>15</v>
      </c>
    </row>
    <row r="3" spans="1:25" x14ac:dyDescent="0.35">
      <c r="A3">
        <v>60</v>
      </c>
      <c r="B3">
        <f>AVERAGE(D3:E3)</f>
        <v>0.1555</v>
      </c>
      <c r="C3" s="19">
        <v>0.186</v>
      </c>
      <c r="D3" s="3">
        <v>0.159</v>
      </c>
      <c r="E3" s="3">
        <v>0.152</v>
      </c>
      <c r="N3">
        <v>60</v>
      </c>
      <c r="O3">
        <f>AVERAGE(P3:R3)</f>
        <v>0.29833333333333328</v>
      </c>
      <c r="P3">
        <v>0.35499999999999998</v>
      </c>
      <c r="Q3">
        <v>0.28699999999999998</v>
      </c>
      <c r="R3">
        <v>0.253</v>
      </c>
    </row>
    <row r="4" spans="1:25" x14ac:dyDescent="0.35">
      <c r="A4">
        <v>45</v>
      </c>
      <c r="B4">
        <f t="shared" ref="B4:B14" si="0">AVERAGE(C4:E4)</f>
        <v>0.12133333333333333</v>
      </c>
      <c r="C4" s="3">
        <v>0.126</v>
      </c>
      <c r="D4" s="3">
        <v>0.11700000000000001</v>
      </c>
      <c r="E4" s="3">
        <v>0.121</v>
      </c>
      <c r="N4">
        <v>45</v>
      </c>
      <c r="O4">
        <f t="shared" ref="O4:O14" si="1">AVERAGE(P4:R4)</f>
        <v>0.22833333333333336</v>
      </c>
      <c r="P4">
        <v>0.23300000000000001</v>
      </c>
      <c r="Q4">
        <v>0.20799999999999999</v>
      </c>
      <c r="R4">
        <v>0.24399999999999999</v>
      </c>
    </row>
    <row r="5" spans="1:25" x14ac:dyDescent="0.35">
      <c r="A5">
        <v>30</v>
      </c>
      <c r="B5">
        <f>AVERAGE(C5:E5)</f>
        <v>0.10366666666666668</v>
      </c>
      <c r="C5" s="3">
        <v>0.11700000000000001</v>
      </c>
      <c r="D5" s="3">
        <v>9.6000000000000002E-2</v>
      </c>
      <c r="E5" s="3">
        <v>9.8000000000000004E-2</v>
      </c>
      <c r="N5">
        <v>30</v>
      </c>
      <c r="O5">
        <f t="shared" si="1"/>
        <v>0.17766666666666667</v>
      </c>
      <c r="P5">
        <v>0.17699999999999999</v>
      </c>
      <c r="Q5">
        <v>0.189</v>
      </c>
      <c r="R5">
        <v>0.16700000000000001</v>
      </c>
    </row>
    <row r="6" spans="1:25" x14ac:dyDescent="0.35">
      <c r="A6">
        <v>18</v>
      </c>
      <c r="B6">
        <f t="shared" si="0"/>
        <v>7.7333333333333323E-2</v>
      </c>
      <c r="C6" s="3">
        <v>7.6999999999999999E-2</v>
      </c>
      <c r="D6" s="3">
        <v>0.08</v>
      </c>
      <c r="E6" s="3">
        <v>7.4999999999999997E-2</v>
      </c>
      <c r="N6">
        <v>18</v>
      </c>
      <c r="O6">
        <f t="shared" si="1"/>
        <v>0.11266666666666665</v>
      </c>
      <c r="P6">
        <v>0.121</v>
      </c>
      <c r="Q6">
        <v>0.113</v>
      </c>
      <c r="R6">
        <v>0.104</v>
      </c>
    </row>
    <row r="7" spans="1:25" x14ac:dyDescent="0.35">
      <c r="A7">
        <v>9</v>
      </c>
      <c r="B7">
        <f t="shared" si="0"/>
        <v>5.6333333333333339E-2</v>
      </c>
      <c r="C7" s="3">
        <v>5.7000000000000002E-2</v>
      </c>
      <c r="D7" s="3">
        <v>5.8000000000000003E-2</v>
      </c>
      <c r="E7" s="3">
        <v>5.3999999999999999E-2</v>
      </c>
      <c r="N7">
        <v>9</v>
      </c>
      <c r="O7">
        <f t="shared" si="1"/>
        <v>7.9333333333333325E-2</v>
      </c>
      <c r="P7">
        <v>8.2000000000000003E-2</v>
      </c>
      <c r="Q7">
        <v>0.08</v>
      </c>
      <c r="R7">
        <v>7.5999999999999998E-2</v>
      </c>
    </row>
    <row r="8" spans="1:25" x14ac:dyDescent="0.35">
      <c r="A8">
        <v>6</v>
      </c>
      <c r="B8">
        <f t="shared" si="0"/>
        <v>4.933333333333334E-2</v>
      </c>
      <c r="C8" s="3">
        <v>4.8000000000000001E-2</v>
      </c>
      <c r="D8" s="3">
        <v>0.05</v>
      </c>
      <c r="E8" s="3">
        <v>0.05</v>
      </c>
      <c r="N8">
        <v>6</v>
      </c>
      <c r="O8">
        <f t="shared" si="1"/>
        <v>6.4666666666666664E-2</v>
      </c>
      <c r="P8">
        <v>6.2E-2</v>
      </c>
      <c r="Q8">
        <v>6.2E-2</v>
      </c>
      <c r="R8">
        <v>7.0000000000000007E-2</v>
      </c>
    </row>
    <row r="9" spans="1:25" x14ac:dyDescent="0.35">
      <c r="A9">
        <v>3</v>
      </c>
      <c r="B9">
        <f t="shared" si="0"/>
        <v>4.3000000000000003E-2</v>
      </c>
      <c r="C9" s="3">
        <v>4.3999999999999997E-2</v>
      </c>
      <c r="D9" s="3">
        <v>4.2000000000000003E-2</v>
      </c>
      <c r="E9" s="3">
        <v>4.2999999999999997E-2</v>
      </c>
      <c r="N9">
        <v>3</v>
      </c>
      <c r="O9">
        <f t="shared" si="1"/>
        <v>5.0333333333333341E-2</v>
      </c>
      <c r="P9">
        <v>0.05</v>
      </c>
      <c r="Q9">
        <v>5.0999999999999997E-2</v>
      </c>
      <c r="R9">
        <v>0.05</v>
      </c>
    </row>
    <row r="10" spans="1:25" x14ac:dyDescent="0.35">
      <c r="A10">
        <v>0.6</v>
      </c>
      <c r="B10">
        <f t="shared" si="0"/>
        <v>0.04</v>
      </c>
      <c r="C10" s="3">
        <v>4.1000000000000002E-2</v>
      </c>
      <c r="D10" s="3">
        <v>3.7999999999999999E-2</v>
      </c>
      <c r="E10" s="3">
        <v>4.1000000000000002E-2</v>
      </c>
      <c r="N10">
        <v>0.6</v>
      </c>
      <c r="O10">
        <f t="shared" si="1"/>
        <v>4.1333333333333333E-2</v>
      </c>
      <c r="P10">
        <v>4.2999999999999997E-2</v>
      </c>
      <c r="Q10">
        <v>3.9E-2</v>
      </c>
      <c r="R10">
        <v>4.2000000000000003E-2</v>
      </c>
    </row>
    <row r="11" spans="1:25" x14ac:dyDescent="0.35">
      <c r="A11">
        <v>100</v>
      </c>
      <c r="B11">
        <f t="shared" si="0"/>
        <v>0.23033333333333336</v>
      </c>
      <c r="C11" s="3">
        <v>0.28100000000000003</v>
      </c>
      <c r="D11" s="3">
        <v>0.23400000000000001</v>
      </c>
      <c r="E11" s="3">
        <v>0.17599999999999999</v>
      </c>
      <c r="N11">
        <v>100</v>
      </c>
      <c r="O11">
        <f t="shared" si="1"/>
        <v>0.42166666666666669</v>
      </c>
      <c r="P11">
        <v>0.47399999999999998</v>
      </c>
      <c r="Q11">
        <v>0.4</v>
      </c>
      <c r="R11">
        <v>0.39100000000000001</v>
      </c>
    </row>
    <row r="12" spans="1:25" x14ac:dyDescent="0.35">
      <c r="A12">
        <v>250</v>
      </c>
      <c r="B12">
        <f>AVERAGE(C12:E12)</f>
        <v>0.50866666666666671</v>
      </c>
      <c r="C12" s="3">
        <v>0.48699999999999999</v>
      </c>
      <c r="D12" s="3">
        <v>0.502</v>
      </c>
      <c r="E12" s="3">
        <v>0.53700000000000003</v>
      </c>
      <c r="N12">
        <v>250</v>
      </c>
      <c r="O12">
        <f>AVERAGE(P12:R12)</f>
        <v>0.66333333333333344</v>
      </c>
      <c r="P12" s="20">
        <v>0.61699999999999999</v>
      </c>
      <c r="Q12" s="20">
        <v>0.64800000000000002</v>
      </c>
      <c r="R12">
        <v>0.72499999999999998</v>
      </c>
    </row>
    <row r="13" spans="1:25" x14ac:dyDescent="0.35">
      <c r="A13">
        <v>500</v>
      </c>
      <c r="B13">
        <f t="shared" si="0"/>
        <v>0.86833333333333318</v>
      </c>
      <c r="C13" s="3">
        <v>0.95299999999999996</v>
      </c>
      <c r="D13" s="3">
        <v>0.71</v>
      </c>
      <c r="E13" s="3">
        <v>0.94199999999999995</v>
      </c>
      <c r="N13">
        <v>500</v>
      </c>
      <c r="O13">
        <f>AVERAGE(P13:R13)</f>
        <v>1.0236666666666667</v>
      </c>
      <c r="P13" s="20">
        <v>1.0449999999999999</v>
      </c>
      <c r="Q13" s="20">
        <v>0.998</v>
      </c>
      <c r="R13">
        <v>1.028</v>
      </c>
    </row>
    <row r="14" spans="1:25" x14ac:dyDescent="0.35">
      <c r="A14">
        <v>0</v>
      </c>
      <c r="B14">
        <f t="shared" si="0"/>
        <v>3.833333333333333E-2</v>
      </c>
      <c r="C14" s="3">
        <v>4.1000000000000002E-2</v>
      </c>
      <c r="D14" s="3">
        <v>3.6999999999999998E-2</v>
      </c>
      <c r="E14" s="3">
        <v>3.6999999999999998E-2</v>
      </c>
      <c r="N14">
        <v>0</v>
      </c>
      <c r="O14">
        <f t="shared" si="1"/>
        <v>3.7999999999999999E-2</v>
      </c>
      <c r="P14" s="20">
        <v>3.7999999999999999E-2</v>
      </c>
      <c r="Q14" s="20">
        <v>3.7999999999999999E-2</v>
      </c>
      <c r="R14">
        <v>3.7999999999999999E-2</v>
      </c>
    </row>
    <row r="17" spans="1:18" x14ac:dyDescent="0.35">
      <c r="A17" s="13" t="s">
        <v>16</v>
      </c>
      <c r="B17" s="13" t="s">
        <v>14</v>
      </c>
      <c r="C17" s="13" t="s">
        <v>0</v>
      </c>
      <c r="D17" s="13" t="s">
        <v>9</v>
      </c>
      <c r="E17" s="13" t="s">
        <v>15</v>
      </c>
      <c r="N17" s="13" t="s">
        <v>16</v>
      </c>
      <c r="O17" s="13" t="s">
        <v>14</v>
      </c>
      <c r="P17" s="13" t="s">
        <v>0</v>
      </c>
      <c r="Q17" s="13" t="s">
        <v>9</v>
      </c>
      <c r="R17" s="13" t="s">
        <v>15</v>
      </c>
    </row>
    <row r="18" spans="1:18" x14ac:dyDescent="0.35">
      <c r="A18">
        <v>60</v>
      </c>
      <c r="B18">
        <f>AVERAGE(C18:E18)</f>
        <v>3.8666666666666662E-2</v>
      </c>
      <c r="C18" s="3">
        <v>3.7999999999999999E-2</v>
      </c>
      <c r="D18" s="3">
        <v>3.7999999999999999E-2</v>
      </c>
      <c r="E18" s="3">
        <v>0.04</v>
      </c>
      <c r="N18">
        <v>60</v>
      </c>
      <c r="O18">
        <f>AVERAGE(Q18:R18)</f>
        <v>0.1565</v>
      </c>
      <c r="P18" s="12">
        <v>0.17399999999999999</v>
      </c>
      <c r="Q18">
        <v>0.159</v>
      </c>
      <c r="R18">
        <v>0.154</v>
      </c>
    </row>
    <row r="19" spans="1:18" x14ac:dyDescent="0.35">
      <c r="A19">
        <v>45</v>
      </c>
      <c r="B19">
        <f t="shared" ref="B19:B29" si="2">AVERAGE(C19:E19)</f>
        <v>3.7666666666666661E-2</v>
      </c>
      <c r="C19" s="3">
        <v>3.6999999999999998E-2</v>
      </c>
      <c r="D19" s="3">
        <v>3.7999999999999999E-2</v>
      </c>
      <c r="E19" s="3">
        <v>3.7999999999999999E-2</v>
      </c>
      <c r="N19">
        <v>45</v>
      </c>
      <c r="O19">
        <f t="shared" ref="O19:O29" si="3">AVERAGE(P19:R19)</f>
        <v>0.14066666666666669</v>
      </c>
      <c r="P19">
        <v>0.13600000000000001</v>
      </c>
      <c r="Q19">
        <v>0.13400000000000001</v>
      </c>
      <c r="R19">
        <v>0.152</v>
      </c>
    </row>
    <row r="20" spans="1:18" x14ac:dyDescent="0.35">
      <c r="A20">
        <v>30</v>
      </c>
      <c r="B20">
        <f t="shared" si="2"/>
        <v>3.7666666666666661E-2</v>
      </c>
      <c r="C20" s="3">
        <v>3.6999999999999998E-2</v>
      </c>
      <c r="D20" s="3">
        <v>3.7999999999999999E-2</v>
      </c>
      <c r="E20" s="3">
        <v>3.7999999999999999E-2</v>
      </c>
      <c r="N20">
        <v>30</v>
      </c>
      <c r="O20">
        <f t="shared" si="3"/>
        <v>0.10766666666666665</v>
      </c>
      <c r="P20">
        <v>0.104</v>
      </c>
      <c r="Q20">
        <v>0.123</v>
      </c>
      <c r="R20">
        <v>9.6000000000000002E-2</v>
      </c>
    </row>
    <row r="21" spans="1:18" x14ac:dyDescent="0.35">
      <c r="A21">
        <v>18</v>
      </c>
      <c r="B21">
        <f t="shared" si="2"/>
        <v>3.6999999999999998E-2</v>
      </c>
      <c r="C21" s="3">
        <v>3.6999999999999998E-2</v>
      </c>
      <c r="D21" s="3">
        <v>3.6999999999999998E-2</v>
      </c>
      <c r="E21" s="3">
        <v>3.6999999999999998E-2</v>
      </c>
      <c r="N21">
        <v>18</v>
      </c>
      <c r="O21">
        <f>AVERAGE(Q21:R21)</f>
        <v>7.5000000000000011E-2</v>
      </c>
      <c r="P21" s="12">
        <v>4.2999999999999997E-2</v>
      </c>
      <c r="Q21">
        <v>8.2000000000000003E-2</v>
      </c>
      <c r="R21">
        <v>6.8000000000000005E-2</v>
      </c>
    </row>
    <row r="22" spans="1:18" x14ac:dyDescent="0.35">
      <c r="A22">
        <v>9</v>
      </c>
      <c r="B22">
        <f t="shared" si="2"/>
        <v>3.7333333333333329E-2</v>
      </c>
      <c r="C22" s="3">
        <v>3.6999999999999998E-2</v>
      </c>
      <c r="D22" s="3">
        <v>3.7999999999999999E-2</v>
      </c>
      <c r="E22" s="3">
        <v>3.6999999999999998E-2</v>
      </c>
      <c r="N22">
        <v>9</v>
      </c>
      <c r="O22">
        <f t="shared" si="3"/>
        <v>5.8333333333333327E-2</v>
      </c>
      <c r="P22">
        <v>5.7000000000000002E-2</v>
      </c>
      <c r="Q22">
        <v>0.06</v>
      </c>
      <c r="R22">
        <v>5.8000000000000003E-2</v>
      </c>
    </row>
    <row r="23" spans="1:18" x14ac:dyDescent="0.35">
      <c r="A23">
        <v>6</v>
      </c>
      <c r="B23">
        <f t="shared" si="2"/>
        <v>3.7999999999999999E-2</v>
      </c>
      <c r="C23" s="3">
        <v>3.6999999999999998E-2</v>
      </c>
      <c r="D23" s="3">
        <v>0.04</v>
      </c>
      <c r="E23" s="3">
        <v>3.6999999999999998E-2</v>
      </c>
      <c r="N23">
        <v>6</v>
      </c>
      <c r="O23">
        <f t="shared" si="3"/>
        <v>5.2333333333333336E-2</v>
      </c>
      <c r="P23">
        <v>5.2999999999999999E-2</v>
      </c>
      <c r="Q23">
        <v>5.0999999999999997E-2</v>
      </c>
      <c r="R23">
        <v>5.2999999999999999E-2</v>
      </c>
    </row>
    <row r="24" spans="1:18" x14ac:dyDescent="0.35">
      <c r="A24">
        <v>3</v>
      </c>
      <c r="B24">
        <f t="shared" si="2"/>
        <v>3.7333333333333329E-2</v>
      </c>
      <c r="C24" s="3">
        <v>3.6999999999999998E-2</v>
      </c>
      <c r="D24" s="3">
        <v>3.7999999999999999E-2</v>
      </c>
      <c r="E24" s="3">
        <v>3.6999999999999998E-2</v>
      </c>
      <c r="N24">
        <v>3</v>
      </c>
      <c r="O24">
        <f t="shared" si="3"/>
        <v>4.5333333333333337E-2</v>
      </c>
      <c r="P24">
        <v>4.4999999999999998E-2</v>
      </c>
      <c r="Q24">
        <v>4.4999999999999998E-2</v>
      </c>
      <c r="R24">
        <v>4.5999999999999999E-2</v>
      </c>
    </row>
    <row r="25" spans="1:18" x14ac:dyDescent="0.35">
      <c r="A25">
        <v>0.6</v>
      </c>
      <c r="B25">
        <f t="shared" si="2"/>
        <v>3.7333333333333329E-2</v>
      </c>
      <c r="C25" s="3">
        <v>3.6999999999999998E-2</v>
      </c>
      <c r="D25" s="3">
        <v>3.6999999999999998E-2</v>
      </c>
      <c r="E25" s="3">
        <v>3.7999999999999999E-2</v>
      </c>
      <c r="N25">
        <v>0.6</v>
      </c>
      <c r="O25">
        <f t="shared" si="3"/>
        <v>4.0333333333333332E-2</v>
      </c>
      <c r="P25">
        <v>3.9E-2</v>
      </c>
      <c r="Q25">
        <v>3.9E-2</v>
      </c>
      <c r="R25">
        <v>4.2999999999999997E-2</v>
      </c>
    </row>
    <row r="26" spans="1:18" x14ac:dyDescent="0.35">
      <c r="A26">
        <v>100</v>
      </c>
      <c r="B26">
        <f t="shared" si="2"/>
        <v>3.9666666666666663E-2</v>
      </c>
      <c r="C26" s="3">
        <v>3.7999999999999999E-2</v>
      </c>
      <c r="D26" s="3">
        <v>3.9E-2</v>
      </c>
      <c r="E26" s="3">
        <v>4.2000000000000003E-2</v>
      </c>
      <c r="N26">
        <v>100</v>
      </c>
      <c r="O26">
        <f t="shared" si="3"/>
        <v>0.23033333333333331</v>
      </c>
      <c r="P26">
        <v>0.23699999999999999</v>
      </c>
      <c r="Q26">
        <v>0.24099999999999999</v>
      </c>
      <c r="R26">
        <v>0.21299999999999999</v>
      </c>
    </row>
    <row r="27" spans="1:18" x14ac:dyDescent="0.35">
      <c r="A27">
        <v>250</v>
      </c>
      <c r="B27">
        <f t="shared" si="2"/>
        <v>4.0666666666666663E-2</v>
      </c>
      <c r="C27" s="3">
        <v>4.1000000000000002E-2</v>
      </c>
      <c r="D27" s="3">
        <v>0.04</v>
      </c>
      <c r="E27" s="3">
        <v>4.1000000000000002E-2</v>
      </c>
      <c r="N27">
        <v>250</v>
      </c>
      <c r="O27">
        <f t="shared" si="3"/>
        <v>0.32400000000000001</v>
      </c>
      <c r="P27">
        <v>0.26500000000000001</v>
      </c>
      <c r="Q27">
        <v>0.308</v>
      </c>
      <c r="R27">
        <v>0.39900000000000002</v>
      </c>
    </row>
    <row r="28" spans="1:18" x14ac:dyDescent="0.35">
      <c r="A28">
        <v>500</v>
      </c>
      <c r="B28">
        <f t="shared" si="2"/>
        <v>4.2666666666666665E-2</v>
      </c>
      <c r="C28" s="3">
        <v>4.2999999999999997E-2</v>
      </c>
      <c r="D28" s="3">
        <v>4.2000000000000003E-2</v>
      </c>
      <c r="E28" s="3">
        <v>4.2999999999999997E-2</v>
      </c>
      <c r="N28">
        <v>500</v>
      </c>
      <c r="O28">
        <f>AVERAGE(P28:R28)</f>
        <v>0.31900000000000001</v>
      </c>
      <c r="P28">
        <v>0.29899999999999999</v>
      </c>
      <c r="Q28">
        <v>0.29399999999999998</v>
      </c>
      <c r="R28">
        <v>0.36399999999999999</v>
      </c>
    </row>
    <row r="29" spans="1:18" x14ac:dyDescent="0.35">
      <c r="A29">
        <v>0</v>
      </c>
      <c r="B29">
        <f t="shared" si="2"/>
        <v>3.6999999999999998E-2</v>
      </c>
      <c r="C29" s="3">
        <v>3.6999999999999998E-2</v>
      </c>
      <c r="D29" s="3">
        <v>3.6999999999999998E-2</v>
      </c>
      <c r="E29" s="3">
        <v>3.6999999999999998E-2</v>
      </c>
      <c r="N29">
        <v>0</v>
      </c>
      <c r="O29">
        <f t="shared" si="3"/>
        <v>3.7666666666666661E-2</v>
      </c>
      <c r="P29">
        <v>3.7999999999999999E-2</v>
      </c>
      <c r="Q29">
        <v>3.6999999999999998E-2</v>
      </c>
      <c r="R29">
        <v>3.7999999999999999E-2</v>
      </c>
    </row>
    <row r="33" spans="15:18" x14ac:dyDescent="0.35">
      <c r="O33" s="15" t="s">
        <v>19</v>
      </c>
      <c r="P33" s="16" t="s">
        <v>20</v>
      </c>
      <c r="Q33" s="16"/>
      <c r="R33" s="16" t="s">
        <v>21</v>
      </c>
    </row>
    <row r="34" spans="15:18" x14ac:dyDescent="0.35">
      <c r="P34" t="s">
        <v>22</v>
      </c>
      <c r="Q34" t="s">
        <v>23</v>
      </c>
      <c r="R34" t="s">
        <v>24</v>
      </c>
    </row>
    <row r="35" spans="15:18" x14ac:dyDescent="0.35">
      <c r="P35" s="17">
        <f>((P18/0.8)/C3)*100</f>
        <v>116.93548387096773</v>
      </c>
      <c r="Q35" s="17">
        <f>((Q18/0.8)/D3)*100</f>
        <v>124.99999999999997</v>
      </c>
      <c r="R35" s="17">
        <f t="shared" ref="R35" si="4">((R18/0.8)/E3)*100</f>
        <v>126.64473684210525</v>
      </c>
    </row>
  </sheetData>
  <mergeCells count="2">
    <mergeCell ref="A1:L1"/>
    <mergeCell ref="N1:Y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9443-E6CF-4DEF-97F6-BF4CBAA43E1E}">
  <dimension ref="A3:N41"/>
  <sheetViews>
    <sheetView workbookViewId="0">
      <selection activeCell="B34" sqref="B34:M41"/>
    </sheetView>
  </sheetViews>
  <sheetFormatPr defaultRowHeight="14.5" x14ac:dyDescent="0.35"/>
  <sheetData>
    <row r="3" spans="1:14" x14ac:dyDescent="0.35">
      <c r="A3" s="1" t="s">
        <v>41</v>
      </c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14" x14ac:dyDescent="0.35">
      <c r="A4" s="2" t="s">
        <v>1</v>
      </c>
      <c r="B4" s="3">
        <v>0.186</v>
      </c>
      <c r="C4" s="3">
        <v>0.159</v>
      </c>
      <c r="D4" s="3">
        <v>0.152</v>
      </c>
      <c r="E4" s="3">
        <v>0.28100000000000003</v>
      </c>
      <c r="F4" s="3">
        <v>0.23400000000000001</v>
      </c>
      <c r="G4" s="3">
        <v>0.17599999999999999</v>
      </c>
      <c r="H4" s="3">
        <v>3.7999999999999999E-2</v>
      </c>
      <c r="I4" s="3">
        <v>3.7999999999999999E-2</v>
      </c>
      <c r="J4" s="3">
        <v>0.04</v>
      </c>
      <c r="K4" s="3">
        <v>3.7999999999999999E-2</v>
      </c>
      <c r="L4" s="3">
        <v>3.9E-2</v>
      </c>
      <c r="M4" s="3">
        <v>4.2000000000000003E-2</v>
      </c>
      <c r="N4" s="18">
        <v>562</v>
      </c>
    </row>
    <row r="5" spans="1:14" x14ac:dyDescent="0.35">
      <c r="A5" s="2" t="s">
        <v>2</v>
      </c>
      <c r="B5" s="3">
        <v>0.126</v>
      </c>
      <c r="C5" s="3">
        <v>0.11700000000000001</v>
      </c>
      <c r="D5" s="3">
        <v>0.121</v>
      </c>
      <c r="E5" s="3">
        <v>0.48699999999999999</v>
      </c>
      <c r="F5" s="3">
        <v>0.502</v>
      </c>
      <c r="G5" s="3">
        <v>0.53700000000000003</v>
      </c>
      <c r="H5" s="3">
        <v>3.6999999999999998E-2</v>
      </c>
      <c r="I5" s="3">
        <v>3.7999999999999999E-2</v>
      </c>
      <c r="J5" s="3">
        <v>3.7999999999999999E-2</v>
      </c>
      <c r="K5" s="3">
        <v>4.1000000000000002E-2</v>
      </c>
      <c r="L5" s="3">
        <v>0.04</v>
      </c>
      <c r="M5" s="3">
        <v>4.1000000000000002E-2</v>
      </c>
      <c r="N5" s="18">
        <v>562</v>
      </c>
    </row>
    <row r="6" spans="1:14" x14ac:dyDescent="0.35">
      <c r="A6" s="2" t="s">
        <v>3</v>
      </c>
      <c r="B6" s="3">
        <v>0.11700000000000001</v>
      </c>
      <c r="C6" s="3">
        <v>9.6000000000000002E-2</v>
      </c>
      <c r="D6" s="3">
        <v>9.8000000000000004E-2</v>
      </c>
      <c r="E6" s="3">
        <v>0.95299999999999996</v>
      </c>
      <c r="F6" s="3">
        <v>0.71</v>
      </c>
      <c r="G6" s="3">
        <v>0.94199999999999995</v>
      </c>
      <c r="H6" s="3">
        <v>3.6999999999999998E-2</v>
      </c>
      <c r="I6" s="3">
        <v>3.7999999999999999E-2</v>
      </c>
      <c r="J6" s="3">
        <v>3.7999999999999999E-2</v>
      </c>
      <c r="K6" s="3">
        <v>4.2999999999999997E-2</v>
      </c>
      <c r="L6" s="3">
        <v>4.2000000000000003E-2</v>
      </c>
      <c r="M6" s="3">
        <v>4.2999999999999997E-2</v>
      </c>
      <c r="N6" s="18">
        <v>562</v>
      </c>
    </row>
    <row r="7" spans="1:14" x14ac:dyDescent="0.35">
      <c r="A7" s="2" t="s">
        <v>4</v>
      </c>
      <c r="B7" s="3">
        <v>7.6999999999999999E-2</v>
      </c>
      <c r="C7" s="3">
        <v>0.08</v>
      </c>
      <c r="D7" s="3">
        <v>7.4999999999999997E-2</v>
      </c>
      <c r="E7" s="3">
        <v>4.7E-2</v>
      </c>
      <c r="F7" s="3">
        <v>4.7E-2</v>
      </c>
      <c r="G7" s="3">
        <v>4.7E-2</v>
      </c>
      <c r="H7" s="3">
        <v>3.6999999999999998E-2</v>
      </c>
      <c r="I7" s="3">
        <v>3.6999999999999998E-2</v>
      </c>
      <c r="J7" s="3">
        <v>3.6999999999999998E-2</v>
      </c>
      <c r="K7" s="3">
        <v>4.7E-2</v>
      </c>
      <c r="L7" s="3">
        <v>4.5999999999999999E-2</v>
      </c>
      <c r="M7" s="3">
        <v>4.7E-2</v>
      </c>
      <c r="N7" s="18">
        <v>562</v>
      </c>
    </row>
    <row r="8" spans="1:14" x14ac:dyDescent="0.35">
      <c r="A8" s="2" t="s">
        <v>5</v>
      </c>
      <c r="B8" s="3">
        <v>5.7000000000000002E-2</v>
      </c>
      <c r="C8" s="3">
        <v>5.8000000000000003E-2</v>
      </c>
      <c r="D8" s="3">
        <v>5.3999999999999999E-2</v>
      </c>
      <c r="E8" s="3">
        <v>4.5999999999999999E-2</v>
      </c>
      <c r="F8" s="3">
        <v>4.7E-2</v>
      </c>
      <c r="G8" s="3">
        <v>4.7E-2</v>
      </c>
      <c r="H8" s="3">
        <v>3.6999999999999998E-2</v>
      </c>
      <c r="I8" s="3">
        <v>3.7999999999999999E-2</v>
      </c>
      <c r="J8" s="3">
        <v>3.6999999999999998E-2</v>
      </c>
      <c r="K8" s="3">
        <v>4.7E-2</v>
      </c>
      <c r="L8" s="3">
        <v>4.5999999999999999E-2</v>
      </c>
      <c r="M8" s="3">
        <v>4.7E-2</v>
      </c>
      <c r="N8" s="18">
        <v>562</v>
      </c>
    </row>
    <row r="9" spans="1:14" x14ac:dyDescent="0.35">
      <c r="A9" s="2" t="s">
        <v>6</v>
      </c>
      <c r="B9" s="3">
        <v>4.8000000000000001E-2</v>
      </c>
      <c r="C9" s="3">
        <v>0.05</v>
      </c>
      <c r="D9" s="3">
        <v>0.05</v>
      </c>
      <c r="E9" s="3">
        <v>4.7E-2</v>
      </c>
      <c r="F9" s="3">
        <v>4.5999999999999999E-2</v>
      </c>
      <c r="G9" s="3">
        <v>4.7E-2</v>
      </c>
      <c r="H9" s="3">
        <v>3.6999999999999998E-2</v>
      </c>
      <c r="I9" s="3">
        <v>0.04</v>
      </c>
      <c r="J9" s="3">
        <v>3.6999999999999998E-2</v>
      </c>
      <c r="K9" s="3">
        <v>4.7E-2</v>
      </c>
      <c r="L9" s="3">
        <v>4.7E-2</v>
      </c>
      <c r="M9" s="3">
        <v>4.5999999999999999E-2</v>
      </c>
      <c r="N9" s="18">
        <v>562</v>
      </c>
    </row>
    <row r="10" spans="1:14" x14ac:dyDescent="0.35">
      <c r="A10" s="2" t="s">
        <v>7</v>
      </c>
      <c r="B10" s="3">
        <v>4.3999999999999997E-2</v>
      </c>
      <c r="C10" s="3">
        <v>4.2000000000000003E-2</v>
      </c>
      <c r="D10" s="3">
        <v>4.2999999999999997E-2</v>
      </c>
      <c r="E10" s="3">
        <v>4.5999999999999999E-2</v>
      </c>
      <c r="F10" s="3">
        <v>4.5999999999999999E-2</v>
      </c>
      <c r="G10" s="3">
        <v>4.7E-2</v>
      </c>
      <c r="H10" s="3">
        <v>3.6999999999999998E-2</v>
      </c>
      <c r="I10" s="3">
        <v>3.7999999999999999E-2</v>
      </c>
      <c r="J10" s="3">
        <v>3.6999999999999998E-2</v>
      </c>
      <c r="K10" s="3">
        <v>4.7E-2</v>
      </c>
      <c r="L10" s="3">
        <v>4.7E-2</v>
      </c>
      <c r="M10" s="3">
        <v>4.7E-2</v>
      </c>
      <c r="N10" s="18">
        <v>562</v>
      </c>
    </row>
    <row r="11" spans="1:14" x14ac:dyDescent="0.35">
      <c r="A11" s="2" t="s">
        <v>8</v>
      </c>
      <c r="B11" s="3">
        <v>4.1000000000000002E-2</v>
      </c>
      <c r="C11" s="3">
        <v>3.7999999999999999E-2</v>
      </c>
      <c r="D11" s="3">
        <v>4.1000000000000002E-2</v>
      </c>
      <c r="E11" s="3">
        <v>4.1000000000000002E-2</v>
      </c>
      <c r="F11" s="3">
        <v>3.6999999999999998E-2</v>
      </c>
      <c r="G11" s="3">
        <v>3.6999999999999998E-2</v>
      </c>
      <c r="H11" s="3">
        <v>3.6999999999999998E-2</v>
      </c>
      <c r="I11" s="3">
        <v>3.6999999999999998E-2</v>
      </c>
      <c r="J11" s="3">
        <v>3.7999999999999999E-2</v>
      </c>
      <c r="K11" s="3">
        <v>3.6999999999999998E-2</v>
      </c>
      <c r="L11" s="3">
        <v>3.6999999999999998E-2</v>
      </c>
      <c r="M11" s="3">
        <v>3.6999999999999998E-2</v>
      </c>
      <c r="N11" s="18">
        <v>562</v>
      </c>
    </row>
    <row r="13" spans="1:14" x14ac:dyDescent="0.35">
      <c r="A13" s="1" t="s">
        <v>38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4" x14ac:dyDescent="0.35">
      <c r="A14" s="2" t="s">
        <v>1</v>
      </c>
      <c r="B14" s="3">
        <v>0.35499999999999998</v>
      </c>
      <c r="C14" s="3">
        <v>0.28699999999999998</v>
      </c>
      <c r="D14" s="3">
        <v>0.253</v>
      </c>
      <c r="E14" s="3">
        <v>0.47399999999999998</v>
      </c>
      <c r="F14" s="3">
        <v>0.4</v>
      </c>
      <c r="G14" s="3">
        <v>0.39100000000000001</v>
      </c>
      <c r="H14" s="3">
        <v>0.17399999999999999</v>
      </c>
      <c r="I14" s="3">
        <v>0.159</v>
      </c>
      <c r="J14" s="3">
        <v>0.154</v>
      </c>
      <c r="K14" s="3">
        <v>0.23699999999999999</v>
      </c>
      <c r="L14" s="3">
        <v>0.24099999999999999</v>
      </c>
      <c r="M14" s="3">
        <v>0.21299999999999999</v>
      </c>
      <c r="N14" s="18">
        <v>562</v>
      </c>
    </row>
    <row r="15" spans="1:14" x14ac:dyDescent="0.35">
      <c r="A15" s="2" t="s">
        <v>2</v>
      </c>
      <c r="B15" s="3">
        <v>0.23300000000000001</v>
      </c>
      <c r="C15" s="3">
        <v>0.20799999999999999</v>
      </c>
      <c r="D15" s="3">
        <v>0.24399999999999999</v>
      </c>
      <c r="E15" s="3">
        <v>0.61699999999999999</v>
      </c>
      <c r="F15" s="3">
        <v>0.64800000000000002</v>
      </c>
      <c r="G15" s="3">
        <v>0.72499999999999998</v>
      </c>
      <c r="H15" s="3">
        <v>0.13600000000000001</v>
      </c>
      <c r="I15" s="3">
        <v>0.13400000000000001</v>
      </c>
      <c r="J15" s="3">
        <v>0.152</v>
      </c>
      <c r="K15" s="3">
        <v>0.26500000000000001</v>
      </c>
      <c r="L15" s="3">
        <v>0.308</v>
      </c>
      <c r="M15" s="3">
        <v>0.39900000000000002</v>
      </c>
      <c r="N15" s="18">
        <v>562</v>
      </c>
    </row>
    <row r="16" spans="1:14" x14ac:dyDescent="0.35">
      <c r="A16" s="2" t="s">
        <v>3</v>
      </c>
      <c r="B16" s="3">
        <v>0.17699999999999999</v>
      </c>
      <c r="C16" s="3">
        <v>0.189</v>
      </c>
      <c r="D16" s="3">
        <v>0.16700000000000001</v>
      </c>
      <c r="E16" s="3">
        <v>1.0449999999999999</v>
      </c>
      <c r="F16" s="3">
        <v>0.998</v>
      </c>
      <c r="G16" s="3">
        <v>1.028</v>
      </c>
      <c r="H16" s="3">
        <v>0.104</v>
      </c>
      <c r="I16" s="3">
        <v>0.123</v>
      </c>
      <c r="J16" s="3">
        <v>9.6000000000000002E-2</v>
      </c>
      <c r="K16" s="3">
        <v>0.29899999999999999</v>
      </c>
      <c r="L16" s="3">
        <v>0.29399999999999998</v>
      </c>
      <c r="M16" s="3">
        <v>0.36399999999999999</v>
      </c>
      <c r="N16" s="18">
        <v>562</v>
      </c>
    </row>
    <row r="17" spans="1:14" x14ac:dyDescent="0.35">
      <c r="A17" s="2" t="s">
        <v>4</v>
      </c>
      <c r="B17" s="3">
        <v>0.121</v>
      </c>
      <c r="C17" s="3">
        <v>0.113</v>
      </c>
      <c r="D17" s="3">
        <v>0.104</v>
      </c>
      <c r="E17" s="3">
        <v>4.7E-2</v>
      </c>
      <c r="F17" s="3">
        <v>4.7E-2</v>
      </c>
      <c r="G17" s="3">
        <v>4.7E-2</v>
      </c>
      <c r="H17" s="3">
        <v>4.2999999999999997E-2</v>
      </c>
      <c r="I17" s="3">
        <v>8.2000000000000003E-2</v>
      </c>
      <c r="J17" s="3">
        <v>6.8000000000000005E-2</v>
      </c>
      <c r="K17" s="3">
        <v>4.7E-2</v>
      </c>
      <c r="L17" s="3">
        <v>4.7E-2</v>
      </c>
      <c r="M17" s="3">
        <v>4.7E-2</v>
      </c>
      <c r="N17" s="18">
        <v>562</v>
      </c>
    </row>
    <row r="18" spans="1:14" x14ac:dyDescent="0.35">
      <c r="A18" s="2" t="s">
        <v>5</v>
      </c>
      <c r="B18" s="3">
        <v>8.2000000000000003E-2</v>
      </c>
      <c r="C18" s="3">
        <v>0.08</v>
      </c>
      <c r="D18" s="3">
        <v>7.5999999999999998E-2</v>
      </c>
      <c r="E18" s="3">
        <v>4.7E-2</v>
      </c>
      <c r="F18" s="3">
        <v>4.7E-2</v>
      </c>
      <c r="G18" s="3">
        <v>4.7E-2</v>
      </c>
      <c r="H18" s="3">
        <v>5.7000000000000002E-2</v>
      </c>
      <c r="I18" s="3">
        <v>0.06</v>
      </c>
      <c r="J18" s="3">
        <v>5.8000000000000003E-2</v>
      </c>
      <c r="K18" s="3">
        <v>4.5999999999999999E-2</v>
      </c>
      <c r="L18" s="3">
        <v>4.7E-2</v>
      </c>
      <c r="M18" s="3">
        <v>4.8000000000000001E-2</v>
      </c>
      <c r="N18" s="18">
        <v>562</v>
      </c>
    </row>
    <row r="19" spans="1:14" x14ac:dyDescent="0.35">
      <c r="A19" s="2" t="s">
        <v>6</v>
      </c>
      <c r="B19" s="3">
        <v>6.2E-2</v>
      </c>
      <c r="C19" s="3">
        <v>6.2E-2</v>
      </c>
      <c r="D19" s="3">
        <v>7.0000000000000007E-2</v>
      </c>
      <c r="E19" s="3">
        <v>4.8000000000000001E-2</v>
      </c>
      <c r="F19" s="3">
        <v>4.7E-2</v>
      </c>
      <c r="G19" s="3">
        <v>4.7E-2</v>
      </c>
      <c r="H19" s="3">
        <v>5.2999999999999999E-2</v>
      </c>
      <c r="I19" s="3">
        <v>5.0999999999999997E-2</v>
      </c>
      <c r="J19" s="3">
        <v>5.2999999999999999E-2</v>
      </c>
      <c r="K19" s="3">
        <v>4.7E-2</v>
      </c>
      <c r="L19" s="3">
        <v>4.7E-2</v>
      </c>
      <c r="M19" s="3">
        <v>4.5999999999999999E-2</v>
      </c>
      <c r="N19" s="18">
        <v>562</v>
      </c>
    </row>
    <row r="20" spans="1:14" x14ac:dyDescent="0.35">
      <c r="A20" s="2" t="s">
        <v>7</v>
      </c>
      <c r="B20" s="3">
        <v>0.05</v>
      </c>
      <c r="C20" s="3">
        <v>5.0999999999999997E-2</v>
      </c>
      <c r="D20" s="3">
        <v>0.05</v>
      </c>
      <c r="E20" s="3">
        <v>4.7E-2</v>
      </c>
      <c r="F20" s="3">
        <v>4.7E-2</v>
      </c>
      <c r="G20" s="3">
        <v>4.8000000000000001E-2</v>
      </c>
      <c r="H20" s="3">
        <v>4.4999999999999998E-2</v>
      </c>
      <c r="I20" s="3">
        <v>4.4999999999999998E-2</v>
      </c>
      <c r="J20" s="3">
        <v>4.5999999999999999E-2</v>
      </c>
      <c r="K20" s="3">
        <v>4.7E-2</v>
      </c>
      <c r="L20" s="3">
        <v>4.7E-2</v>
      </c>
      <c r="M20" s="3">
        <v>4.7E-2</v>
      </c>
      <c r="N20" s="18">
        <v>562</v>
      </c>
    </row>
    <row r="21" spans="1:14" x14ac:dyDescent="0.35">
      <c r="A21" s="2" t="s">
        <v>8</v>
      </c>
      <c r="B21" s="3">
        <v>4.2999999999999997E-2</v>
      </c>
      <c r="C21" s="3">
        <v>3.9E-2</v>
      </c>
      <c r="D21" s="3">
        <v>4.2000000000000003E-2</v>
      </c>
      <c r="E21" s="3">
        <v>3.7999999999999999E-2</v>
      </c>
      <c r="F21" s="3">
        <v>3.7999999999999999E-2</v>
      </c>
      <c r="G21" s="3">
        <v>3.7999999999999999E-2</v>
      </c>
      <c r="H21" s="3">
        <v>3.9E-2</v>
      </c>
      <c r="I21" s="3">
        <v>3.9E-2</v>
      </c>
      <c r="J21" s="3">
        <v>4.2999999999999997E-2</v>
      </c>
      <c r="K21" s="3">
        <v>3.7999999999999999E-2</v>
      </c>
      <c r="L21" s="3">
        <v>3.6999999999999998E-2</v>
      </c>
      <c r="M21" s="3">
        <v>3.7999999999999999E-2</v>
      </c>
      <c r="N21" s="18">
        <v>562</v>
      </c>
    </row>
    <row r="23" spans="1:14" ht="29" x14ac:dyDescent="0.35">
      <c r="A23" s="1" t="s">
        <v>42</v>
      </c>
      <c r="B23" s="2">
        <v>1</v>
      </c>
      <c r="C23" s="2">
        <v>2</v>
      </c>
      <c r="D23" s="2">
        <v>3</v>
      </c>
      <c r="E23" s="2">
        <v>4</v>
      </c>
      <c r="F23" s="2">
        <v>5</v>
      </c>
      <c r="G23" s="2">
        <v>6</v>
      </c>
      <c r="H23" s="2">
        <v>7</v>
      </c>
      <c r="I23" s="2">
        <v>8</v>
      </c>
      <c r="J23" s="2">
        <v>9</v>
      </c>
      <c r="K23" s="2">
        <v>10</v>
      </c>
      <c r="L23" s="2">
        <v>11</v>
      </c>
      <c r="M23" s="2">
        <v>12</v>
      </c>
    </row>
    <row r="24" spans="1:14" x14ac:dyDescent="0.35">
      <c r="A24" s="2" t="s">
        <v>1</v>
      </c>
      <c r="B24" s="3">
        <v>0.187</v>
      </c>
      <c r="C24" s="3">
        <v>0.193</v>
      </c>
      <c r="D24" s="3">
        <v>0.189</v>
      </c>
      <c r="E24" s="3">
        <v>4.8000000000000001E-2</v>
      </c>
      <c r="F24" s="3">
        <v>4.9000000000000002E-2</v>
      </c>
      <c r="G24" s="3">
        <v>4.7E-2</v>
      </c>
      <c r="H24" s="3">
        <v>0.10199999999999999</v>
      </c>
      <c r="I24" s="3">
        <v>9.7000000000000003E-2</v>
      </c>
      <c r="J24" s="3">
        <v>9.4E-2</v>
      </c>
      <c r="K24" s="3">
        <v>4.5999999999999999E-2</v>
      </c>
      <c r="L24" s="3">
        <v>4.7E-2</v>
      </c>
      <c r="M24" s="3">
        <v>5.0999999999999997E-2</v>
      </c>
      <c r="N24" s="18">
        <v>562</v>
      </c>
    </row>
    <row r="25" spans="1:14" x14ac:dyDescent="0.35">
      <c r="A25" s="2" t="s">
        <v>2</v>
      </c>
      <c r="B25" s="3">
        <v>7.2999999999999995E-2</v>
      </c>
      <c r="C25" s="3">
        <v>8.1000000000000003E-2</v>
      </c>
      <c r="D25" s="3">
        <v>7.4999999999999997E-2</v>
      </c>
      <c r="E25" s="3">
        <v>4.7E-2</v>
      </c>
      <c r="F25" s="3">
        <v>4.5999999999999999E-2</v>
      </c>
      <c r="G25" s="3">
        <v>4.5999999999999999E-2</v>
      </c>
      <c r="H25" s="3">
        <v>0.11899999999999999</v>
      </c>
      <c r="I25" s="3">
        <v>0.115</v>
      </c>
      <c r="J25" s="3">
        <v>0.114</v>
      </c>
      <c r="K25" s="3">
        <v>4.7E-2</v>
      </c>
      <c r="L25" s="3">
        <v>4.7E-2</v>
      </c>
      <c r="M25" s="3">
        <v>4.7E-2</v>
      </c>
      <c r="N25" s="18">
        <v>562</v>
      </c>
    </row>
    <row r="26" spans="1:14" x14ac:dyDescent="0.35">
      <c r="A26" s="2" t="s">
        <v>3</v>
      </c>
      <c r="B26" s="3">
        <v>5.3999999999999999E-2</v>
      </c>
      <c r="C26" s="3">
        <v>5.1999999999999998E-2</v>
      </c>
      <c r="D26" s="3">
        <v>5.1999999999999998E-2</v>
      </c>
      <c r="E26" s="3">
        <v>7.0999999999999994E-2</v>
      </c>
      <c r="F26" s="3">
        <v>6.9000000000000006E-2</v>
      </c>
      <c r="G26" s="3">
        <v>6.8000000000000005E-2</v>
      </c>
      <c r="H26" s="3">
        <v>8.7999999999999995E-2</v>
      </c>
      <c r="I26" s="3">
        <v>7.2999999999999995E-2</v>
      </c>
      <c r="J26" s="3">
        <v>8.5000000000000006E-2</v>
      </c>
      <c r="K26" s="3">
        <v>4.7E-2</v>
      </c>
      <c r="L26" s="3">
        <v>4.7E-2</v>
      </c>
      <c r="M26" s="3">
        <v>4.7E-2</v>
      </c>
      <c r="N26" s="18">
        <v>562</v>
      </c>
    </row>
    <row r="27" spans="1:14" x14ac:dyDescent="0.35">
      <c r="A27" s="2" t="s">
        <v>4</v>
      </c>
      <c r="B27" s="3">
        <v>3.7999999999999999E-2</v>
      </c>
      <c r="C27" s="3">
        <v>3.6999999999999998E-2</v>
      </c>
      <c r="D27" s="3">
        <v>3.6999999999999998E-2</v>
      </c>
      <c r="E27" s="3">
        <v>0.1</v>
      </c>
      <c r="F27" s="3">
        <v>9.7000000000000003E-2</v>
      </c>
      <c r="G27" s="3">
        <v>9.5000000000000001E-2</v>
      </c>
      <c r="H27" s="3">
        <v>8.6999999999999994E-2</v>
      </c>
      <c r="I27" s="3">
        <v>8.4000000000000005E-2</v>
      </c>
      <c r="J27" s="3">
        <v>8.4000000000000005E-2</v>
      </c>
      <c r="K27" s="3">
        <v>4.7E-2</v>
      </c>
      <c r="L27" s="3">
        <v>4.7E-2</v>
      </c>
      <c r="M27" s="3">
        <v>4.8000000000000001E-2</v>
      </c>
      <c r="N27" s="18">
        <v>562</v>
      </c>
    </row>
    <row r="28" spans="1:14" x14ac:dyDescent="0.35">
      <c r="A28" s="2" t="s">
        <v>5</v>
      </c>
      <c r="B28" s="3">
        <v>3.9E-2</v>
      </c>
      <c r="C28" s="3">
        <v>3.9E-2</v>
      </c>
      <c r="D28" s="3">
        <v>3.7999999999999999E-2</v>
      </c>
      <c r="E28" s="3">
        <v>6.2E-2</v>
      </c>
      <c r="F28" s="3">
        <v>5.8999999999999997E-2</v>
      </c>
      <c r="G28" s="3">
        <v>5.8999999999999997E-2</v>
      </c>
      <c r="H28" s="3">
        <v>1.097</v>
      </c>
      <c r="I28" s="3">
        <v>0.98099999999999998</v>
      </c>
      <c r="J28" s="3">
        <v>1.097</v>
      </c>
      <c r="K28" s="3">
        <v>4.7E-2</v>
      </c>
      <c r="L28" s="3">
        <v>4.7E-2</v>
      </c>
      <c r="M28" s="3">
        <v>4.7E-2</v>
      </c>
      <c r="N28" s="18">
        <v>562</v>
      </c>
    </row>
    <row r="29" spans="1:14" x14ac:dyDescent="0.35">
      <c r="A29" s="2" t="s">
        <v>6</v>
      </c>
      <c r="B29" s="3">
        <v>3.6999999999999998E-2</v>
      </c>
      <c r="C29" s="3">
        <v>3.6999999999999998E-2</v>
      </c>
      <c r="D29" s="3">
        <v>4.5999999999999999E-2</v>
      </c>
      <c r="E29" s="3">
        <v>0.11600000000000001</v>
      </c>
      <c r="F29" s="3">
        <v>0.113</v>
      </c>
      <c r="G29" s="3">
        <v>0.114</v>
      </c>
      <c r="H29" s="3">
        <v>0.49</v>
      </c>
      <c r="I29" s="3">
        <v>0.58299999999999996</v>
      </c>
      <c r="J29" s="3">
        <v>0.56599999999999995</v>
      </c>
      <c r="K29" s="3">
        <v>4.7E-2</v>
      </c>
      <c r="L29" s="3">
        <v>4.7E-2</v>
      </c>
      <c r="M29" s="3">
        <v>4.7E-2</v>
      </c>
      <c r="N29" s="18">
        <v>562</v>
      </c>
    </row>
    <row r="30" spans="1:14" x14ac:dyDescent="0.35">
      <c r="A30" s="2" t="s">
        <v>7</v>
      </c>
      <c r="B30" s="3">
        <v>3.6999999999999998E-2</v>
      </c>
      <c r="C30" s="3">
        <v>3.7999999999999999E-2</v>
      </c>
      <c r="D30" s="3">
        <v>3.6999999999999998E-2</v>
      </c>
      <c r="E30" s="3">
        <v>0.13300000000000001</v>
      </c>
      <c r="F30" s="3">
        <v>0.125</v>
      </c>
      <c r="G30" s="3">
        <v>0.125</v>
      </c>
      <c r="H30" s="3">
        <v>0.96699999999999997</v>
      </c>
      <c r="I30" s="3">
        <v>1.2190000000000001</v>
      </c>
      <c r="J30" s="3">
        <v>1.19</v>
      </c>
      <c r="K30" s="3">
        <v>4.7E-2</v>
      </c>
      <c r="L30" s="3">
        <v>4.7E-2</v>
      </c>
      <c r="M30" s="3">
        <v>4.7E-2</v>
      </c>
      <c r="N30" s="18">
        <v>562</v>
      </c>
    </row>
    <row r="31" spans="1:14" x14ac:dyDescent="0.35">
      <c r="A31" s="2" t="s">
        <v>8</v>
      </c>
      <c r="B31" s="3">
        <v>3.7999999999999999E-2</v>
      </c>
      <c r="C31" s="3">
        <v>3.7999999999999999E-2</v>
      </c>
      <c r="D31" s="3">
        <v>3.7999999999999999E-2</v>
      </c>
      <c r="E31" s="3">
        <v>0.18099999999999999</v>
      </c>
      <c r="F31" s="3">
        <v>0.182</v>
      </c>
      <c r="G31" s="3">
        <v>0.17899999999999999</v>
      </c>
      <c r="H31" s="3">
        <v>0.93300000000000005</v>
      </c>
      <c r="I31" s="3">
        <v>1.276</v>
      </c>
      <c r="J31" s="3">
        <v>1.0740000000000001</v>
      </c>
      <c r="K31" s="3">
        <v>4.7E-2</v>
      </c>
      <c r="L31" s="3">
        <v>4.7E-2</v>
      </c>
      <c r="M31" s="3">
        <v>4.5999999999999999E-2</v>
      </c>
      <c r="N31" s="18">
        <v>562</v>
      </c>
    </row>
    <row r="33" spans="1:14" ht="29" x14ac:dyDescent="0.35">
      <c r="A33" s="1" t="s">
        <v>43</v>
      </c>
      <c r="B33" s="2">
        <v>1</v>
      </c>
      <c r="C33" s="2">
        <v>2</v>
      </c>
      <c r="D33" s="2">
        <v>3</v>
      </c>
      <c r="E33" s="2">
        <v>4</v>
      </c>
      <c r="F33" s="2">
        <v>5</v>
      </c>
      <c r="G33" s="2">
        <v>6</v>
      </c>
      <c r="H33" s="2">
        <v>7</v>
      </c>
      <c r="I33" s="2">
        <v>8</v>
      </c>
      <c r="J33" s="2">
        <v>9</v>
      </c>
      <c r="K33" s="2">
        <v>10</v>
      </c>
      <c r="L33" s="2">
        <v>11</v>
      </c>
      <c r="M33" s="2">
        <v>12</v>
      </c>
    </row>
    <row r="34" spans="1:14" x14ac:dyDescent="0.35">
      <c r="A34" s="2" t="s">
        <v>1</v>
      </c>
      <c r="B34" s="3">
        <v>0.307</v>
      </c>
      <c r="C34" s="3">
        <v>0.30599999999999999</v>
      </c>
      <c r="D34" s="3">
        <v>0.29699999999999999</v>
      </c>
      <c r="E34" s="3">
        <v>5.0999999999999997E-2</v>
      </c>
      <c r="F34" s="3">
        <v>0.05</v>
      </c>
      <c r="G34" s="3">
        <v>4.8000000000000001E-2</v>
      </c>
      <c r="H34" s="3">
        <v>0.107</v>
      </c>
      <c r="I34" s="3">
        <v>9.9000000000000005E-2</v>
      </c>
      <c r="J34" s="3">
        <v>9.7000000000000003E-2</v>
      </c>
      <c r="K34" s="3">
        <v>4.7E-2</v>
      </c>
      <c r="L34" s="3">
        <v>4.7E-2</v>
      </c>
      <c r="M34" s="3">
        <v>5.0999999999999997E-2</v>
      </c>
      <c r="N34" s="18">
        <v>562</v>
      </c>
    </row>
    <row r="35" spans="1:14" x14ac:dyDescent="0.35">
      <c r="A35" s="2" t="s">
        <v>2</v>
      </c>
      <c r="B35" s="3">
        <v>0.113</v>
      </c>
      <c r="C35" s="3">
        <v>0.111</v>
      </c>
      <c r="D35" s="3">
        <v>0.11600000000000001</v>
      </c>
      <c r="E35" s="3">
        <v>4.8000000000000001E-2</v>
      </c>
      <c r="F35" s="3">
        <v>4.7E-2</v>
      </c>
      <c r="G35" s="3">
        <v>4.8000000000000001E-2</v>
      </c>
      <c r="H35" s="3">
        <v>0.121</v>
      </c>
      <c r="I35" s="3">
        <v>0.11899999999999999</v>
      </c>
      <c r="J35" s="3">
        <v>0.12</v>
      </c>
      <c r="K35" s="3">
        <v>4.7E-2</v>
      </c>
      <c r="L35" s="3">
        <v>4.7E-2</v>
      </c>
      <c r="M35" s="3">
        <v>4.5999999999999999E-2</v>
      </c>
      <c r="N35" s="18">
        <v>562</v>
      </c>
    </row>
    <row r="36" spans="1:14" x14ac:dyDescent="0.35">
      <c r="A36" s="2" t="s">
        <v>3</v>
      </c>
      <c r="B36" s="3">
        <v>6.5000000000000002E-2</v>
      </c>
      <c r="C36" s="3">
        <v>6.7000000000000004E-2</v>
      </c>
      <c r="D36" s="3">
        <v>6.3E-2</v>
      </c>
      <c r="E36" s="3">
        <v>8.3000000000000004E-2</v>
      </c>
      <c r="F36" s="3">
        <v>9.8000000000000004E-2</v>
      </c>
      <c r="G36" s="3">
        <v>8.2000000000000003E-2</v>
      </c>
      <c r="H36" s="3">
        <v>8.6999999999999994E-2</v>
      </c>
      <c r="I36" s="3">
        <v>8.8999999999999996E-2</v>
      </c>
      <c r="J36" s="3">
        <v>8.5000000000000006E-2</v>
      </c>
      <c r="K36" s="3">
        <v>4.7E-2</v>
      </c>
      <c r="L36" s="3">
        <v>4.7E-2</v>
      </c>
      <c r="M36" s="3">
        <v>4.7E-2</v>
      </c>
      <c r="N36" s="18">
        <v>562</v>
      </c>
    </row>
    <row r="37" spans="1:14" x14ac:dyDescent="0.35">
      <c r="A37" s="2" t="s">
        <v>4</v>
      </c>
      <c r="B37" s="3">
        <v>3.7999999999999999E-2</v>
      </c>
      <c r="C37" s="3">
        <v>3.6999999999999998E-2</v>
      </c>
      <c r="D37" s="3">
        <v>3.7999999999999999E-2</v>
      </c>
      <c r="E37" s="3">
        <v>0.10100000000000001</v>
      </c>
      <c r="F37" s="3">
        <v>9.7000000000000003E-2</v>
      </c>
      <c r="G37" s="3">
        <v>9.4E-2</v>
      </c>
      <c r="H37" s="3">
        <v>8.7999999999999995E-2</v>
      </c>
      <c r="I37" s="3">
        <v>8.5000000000000006E-2</v>
      </c>
      <c r="J37" s="3">
        <v>8.4000000000000005E-2</v>
      </c>
      <c r="K37" s="3">
        <v>4.7E-2</v>
      </c>
      <c r="L37" s="3">
        <v>4.7E-2</v>
      </c>
      <c r="M37" s="3">
        <v>4.8000000000000001E-2</v>
      </c>
      <c r="N37" s="18">
        <v>562</v>
      </c>
    </row>
    <row r="38" spans="1:14" x14ac:dyDescent="0.35">
      <c r="A38" s="2" t="s">
        <v>5</v>
      </c>
      <c r="B38" s="3">
        <v>0.157</v>
      </c>
      <c r="C38" s="3">
        <v>0.14799999999999999</v>
      </c>
      <c r="D38" s="3">
        <v>0.16900000000000001</v>
      </c>
      <c r="E38" s="3">
        <v>6.3E-2</v>
      </c>
      <c r="F38" s="3">
        <v>0.06</v>
      </c>
      <c r="G38" s="3">
        <v>5.8999999999999997E-2</v>
      </c>
      <c r="H38" s="3">
        <v>1.1850000000000001</v>
      </c>
      <c r="I38" s="3">
        <v>1.083</v>
      </c>
      <c r="J38" s="3">
        <v>1.234</v>
      </c>
      <c r="K38" s="3">
        <v>4.7E-2</v>
      </c>
      <c r="L38" s="3">
        <v>4.7E-2</v>
      </c>
      <c r="M38" s="3">
        <v>4.7E-2</v>
      </c>
      <c r="N38" s="18">
        <v>562</v>
      </c>
    </row>
    <row r="39" spans="1:14" x14ac:dyDescent="0.35">
      <c r="A39" s="2" t="s">
        <v>6</v>
      </c>
      <c r="B39" s="3">
        <v>0.10299999999999999</v>
      </c>
      <c r="C39" s="3">
        <v>0.10199999999999999</v>
      </c>
      <c r="D39" s="3">
        <v>0.124</v>
      </c>
      <c r="E39" s="3">
        <v>0.11700000000000001</v>
      </c>
      <c r="F39" s="3">
        <v>0.115</v>
      </c>
      <c r="G39" s="3">
        <v>0.11700000000000001</v>
      </c>
      <c r="H39" s="3">
        <v>0.627</v>
      </c>
      <c r="I39" s="3">
        <v>0.72599999999999998</v>
      </c>
      <c r="J39" s="3">
        <v>0.753</v>
      </c>
      <c r="K39" s="3">
        <v>4.7E-2</v>
      </c>
      <c r="L39" s="3">
        <v>4.7E-2</v>
      </c>
      <c r="M39" s="3">
        <v>4.7E-2</v>
      </c>
      <c r="N39" s="18">
        <v>562</v>
      </c>
    </row>
    <row r="40" spans="1:14" x14ac:dyDescent="0.35">
      <c r="A40" s="2" t="s">
        <v>7</v>
      </c>
      <c r="B40" s="3">
        <v>5.3999999999999999E-2</v>
      </c>
      <c r="C40" s="3">
        <v>5.1999999999999998E-2</v>
      </c>
      <c r="D40" s="3">
        <v>4.9000000000000002E-2</v>
      </c>
      <c r="E40" s="3">
        <v>0.13300000000000001</v>
      </c>
      <c r="F40" s="3">
        <v>0.128</v>
      </c>
      <c r="G40" s="3">
        <v>0.127</v>
      </c>
      <c r="H40" s="3">
        <v>1.349</v>
      </c>
      <c r="I40" s="3">
        <v>1.2789999999999999</v>
      </c>
      <c r="J40" s="3">
        <v>1.234</v>
      </c>
      <c r="K40" s="3">
        <v>4.7E-2</v>
      </c>
      <c r="L40" s="3">
        <v>4.7E-2</v>
      </c>
      <c r="M40" s="3">
        <v>4.7E-2</v>
      </c>
      <c r="N40" s="18">
        <v>562</v>
      </c>
    </row>
    <row r="41" spans="1:14" x14ac:dyDescent="0.35">
      <c r="A41" s="2" t="s">
        <v>8</v>
      </c>
      <c r="B41" s="3">
        <v>3.7999999999999999E-2</v>
      </c>
      <c r="C41" s="3">
        <v>3.7999999999999999E-2</v>
      </c>
      <c r="D41" s="3">
        <v>3.7999999999999999E-2</v>
      </c>
      <c r="E41" s="3">
        <v>0.189</v>
      </c>
      <c r="F41" s="3">
        <v>0.189</v>
      </c>
      <c r="G41" s="3">
        <v>0.184</v>
      </c>
      <c r="H41" s="3">
        <v>1.304</v>
      </c>
      <c r="I41" s="3">
        <v>1.2370000000000001</v>
      </c>
      <c r="J41" s="3">
        <v>1.129</v>
      </c>
      <c r="K41" s="3">
        <v>4.7E-2</v>
      </c>
      <c r="L41" s="3">
        <v>4.7E-2</v>
      </c>
      <c r="M41" s="3">
        <v>4.7E-2</v>
      </c>
      <c r="N41" s="18">
        <v>562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63F6-0226-449F-9102-3C6079D9286A}">
  <sheetPr codeName="Sheet4"/>
  <dimension ref="A1:M49"/>
  <sheetViews>
    <sheetView tabSelected="1" topLeftCell="B10" workbookViewId="0">
      <selection activeCell="N27" sqref="N27"/>
    </sheetView>
  </sheetViews>
  <sheetFormatPr defaultRowHeight="14.5" x14ac:dyDescent="0.35"/>
  <cols>
    <col min="1" max="1" width="12.26953125" customWidth="1"/>
    <col min="2" max="2" width="12.54296875" customWidth="1"/>
    <col min="3" max="3" width="11.26953125" customWidth="1"/>
    <col min="4" max="4" width="12.1796875" customWidth="1"/>
    <col min="5" max="5" width="15.81640625" customWidth="1"/>
    <col min="6" max="6" width="14" customWidth="1"/>
    <col min="7" max="7" width="14.453125" customWidth="1"/>
    <col min="8" max="8" width="13.54296875" customWidth="1"/>
    <col min="9" max="9" width="11.54296875" customWidth="1"/>
    <col min="10" max="10" width="12.81640625" customWidth="1"/>
    <col min="11" max="11" width="13.26953125" customWidth="1"/>
    <col min="12" max="12" width="14.54296875" customWidth="1"/>
    <col min="13" max="13" width="12.7265625" customWidth="1"/>
  </cols>
  <sheetData>
    <row r="1" spans="1:13" x14ac:dyDescent="0.3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35">
      <c r="A2" s="2" t="s">
        <v>1</v>
      </c>
      <c r="B2" s="3" t="s">
        <v>25</v>
      </c>
      <c r="C2" s="3">
        <v>0.159</v>
      </c>
      <c r="D2" s="3">
        <v>0.152</v>
      </c>
      <c r="E2" s="3">
        <v>0.28100000000000003</v>
      </c>
      <c r="F2" s="3">
        <v>0.23400000000000001</v>
      </c>
      <c r="G2" s="3">
        <v>0.17599999999999999</v>
      </c>
      <c r="H2" s="3">
        <v>3.7999999999999999E-2</v>
      </c>
      <c r="I2" s="3">
        <v>3.7999999999999999E-2</v>
      </c>
      <c r="J2" s="3">
        <v>0.04</v>
      </c>
      <c r="K2" s="3">
        <v>3.7999999999999999E-2</v>
      </c>
      <c r="L2" s="3">
        <v>3.9E-2</v>
      </c>
      <c r="M2" s="3">
        <v>4.2000000000000003E-2</v>
      </c>
    </row>
    <row r="3" spans="1:13" x14ac:dyDescent="0.35">
      <c r="A3" s="2" t="s">
        <v>2</v>
      </c>
      <c r="B3" s="3">
        <v>0.126</v>
      </c>
      <c r="C3" s="3">
        <v>0.11700000000000001</v>
      </c>
      <c r="D3" s="3">
        <v>0.121</v>
      </c>
      <c r="E3" s="3">
        <v>0.48699999999999999</v>
      </c>
      <c r="F3" s="3">
        <v>0.502</v>
      </c>
      <c r="G3" s="3">
        <v>0.53700000000000003</v>
      </c>
      <c r="H3" s="3">
        <v>3.6999999999999998E-2</v>
      </c>
      <c r="I3" s="3">
        <v>3.7999999999999999E-2</v>
      </c>
      <c r="J3" s="3">
        <v>3.7999999999999999E-2</v>
      </c>
      <c r="K3" s="3">
        <v>4.1000000000000002E-2</v>
      </c>
      <c r="L3" s="3">
        <v>0.04</v>
      </c>
      <c r="M3" s="3">
        <v>4.1000000000000002E-2</v>
      </c>
    </row>
    <row r="4" spans="1:13" x14ac:dyDescent="0.35">
      <c r="A4" s="2" t="s">
        <v>3</v>
      </c>
      <c r="B4" s="3">
        <v>0.11700000000000001</v>
      </c>
      <c r="C4" s="3">
        <v>9.6000000000000002E-2</v>
      </c>
      <c r="D4" s="3">
        <v>9.8000000000000004E-2</v>
      </c>
      <c r="E4" s="3">
        <v>0.95299999999999996</v>
      </c>
      <c r="F4" s="3">
        <v>0.71</v>
      </c>
      <c r="G4" s="3">
        <v>0.94199999999999995</v>
      </c>
      <c r="H4" s="3">
        <v>3.6999999999999998E-2</v>
      </c>
      <c r="I4" s="3">
        <v>3.7999999999999999E-2</v>
      </c>
      <c r="J4" s="3">
        <v>3.7999999999999999E-2</v>
      </c>
      <c r="K4" s="3">
        <v>4.2999999999999997E-2</v>
      </c>
      <c r="L4" s="3">
        <v>4.2000000000000003E-2</v>
      </c>
      <c r="M4" s="3">
        <v>4.2999999999999997E-2</v>
      </c>
    </row>
    <row r="5" spans="1:13" x14ac:dyDescent="0.35">
      <c r="A5" s="2" t="s">
        <v>4</v>
      </c>
      <c r="B5" s="3">
        <v>7.6999999999999999E-2</v>
      </c>
      <c r="C5" s="3">
        <v>0.08</v>
      </c>
      <c r="D5" s="3">
        <v>7.4999999999999997E-2</v>
      </c>
      <c r="E5" s="3">
        <v>4.7E-2</v>
      </c>
      <c r="F5" s="3">
        <v>4.7E-2</v>
      </c>
      <c r="G5" s="3">
        <v>4.7E-2</v>
      </c>
      <c r="H5" s="3">
        <v>3.6999999999999998E-2</v>
      </c>
      <c r="I5" s="3">
        <v>3.6999999999999998E-2</v>
      </c>
      <c r="J5" s="3">
        <v>3.6999999999999998E-2</v>
      </c>
      <c r="K5" s="3">
        <v>4.7E-2</v>
      </c>
      <c r="L5" s="3">
        <v>4.5999999999999999E-2</v>
      </c>
      <c r="M5" s="3">
        <v>4.7E-2</v>
      </c>
    </row>
    <row r="6" spans="1:13" x14ac:dyDescent="0.35">
      <c r="A6" s="2" t="s">
        <v>5</v>
      </c>
      <c r="B6" s="3">
        <v>5.7000000000000002E-2</v>
      </c>
      <c r="C6" s="3">
        <v>5.8000000000000003E-2</v>
      </c>
      <c r="D6" s="3">
        <v>5.3999999999999999E-2</v>
      </c>
      <c r="E6" s="3">
        <v>4.5999999999999999E-2</v>
      </c>
      <c r="F6" s="3">
        <v>4.7E-2</v>
      </c>
      <c r="G6" s="3">
        <v>4.7E-2</v>
      </c>
      <c r="H6" s="3">
        <v>3.6999999999999998E-2</v>
      </c>
      <c r="I6" s="3">
        <v>3.7999999999999999E-2</v>
      </c>
      <c r="J6" s="3">
        <v>3.6999999999999998E-2</v>
      </c>
      <c r="K6" s="3">
        <v>4.7E-2</v>
      </c>
      <c r="L6" s="3">
        <v>4.5999999999999999E-2</v>
      </c>
      <c r="M6" s="3">
        <v>4.7E-2</v>
      </c>
    </row>
    <row r="7" spans="1:13" x14ac:dyDescent="0.35">
      <c r="A7" s="2" t="s">
        <v>6</v>
      </c>
      <c r="B7" s="3">
        <v>4.8000000000000001E-2</v>
      </c>
      <c r="C7" s="3">
        <v>0.05</v>
      </c>
      <c r="D7" s="3">
        <v>0.05</v>
      </c>
      <c r="E7" s="3">
        <v>4.7E-2</v>
      </c>
      <c r="F7" s="3">
        <v>4.5999999999999999E-2</v>
      </c>
      <c r="G7" s="3">
        <v>4.7E-2</v>
      </c>
      <c r="H7" s="3">
        <v>3.6999999999999998E-2</v>
      </c>
      <c r="I7" s="3">
        <v>0.04</v>
      </c>
      <c r="J7" s="3">
        <v>3.6999999999999998E-2</v>
      </c>
      <c r="K7" s="3">
        <v>4.7E-2</v>
      </c>
      <c r="L7" s="3">
        <v>4.7E-2</v>
      </c>
      <c r="M7" s="3">
        <v>4.5999999999999999E-2</v>
      </c>
    </row>
    <row r="8" spans="1:13" x14ac:dyDescent="0.35">
      <c r="A8" s="2" t="s">
        <v>7</v>
      </c>
      <c r="B8" s="3">
        <v>4.3999999999999997E-2</v>
      </c>
      <c r="C8" s="3">
        <v>4.2000000000000003E-2</v>
      </c>
      <c r="D8" s="3">
        <v>4.2999999999999997E-2</v>
      </c>
      <c r="E8" s="3">
        <v>4.5999999999999999E-2</v>
      </c>
      <c r="F8" s="3">
        <v>4.5999999999999999E-2</v>
      </c>
      <c r="G8" s="3">
        <v>4.7E-2</v>
      </c>
      <c r="H8" s="3">
        <v>3.6999999999999998E-2</v>
      </c>
      <c r="I8" s="3">
        <v>3.7999999999999999E-2</v>
      </c>
      <c r="J8" s="3">
        <v>3.6999999999999998E-2</v>
      </c>
      <c r="K8" s="3">
        <v>4.7E-2</v>
      </c>
      <c r="L8" s="3">
        <v>4.7E-2</v>
      </c>
      <c r="M8" s="3">
        <v>4.7E-2</v>
      </c>
    </row>
    <row r="9" spans="1:13" x14ac:dyDescent="0.35">
      <c r="A9" s="2" t="s">
        <v>8</v>
      </c>
      <c r="B9" s="3">
        <v>4.1000000000000002E-2</v>
      </c>
      <c r="C9" s="3">
        <v>3.7999999999999999E-2</v>
      </c>
      <c r="D9" s="3">
        <v>4.1000000000000002E-2</v>
      </c>
      <c r="E9" s="3">
        <v>4.1000000000000002E-2</v>
      </c>
      <c r="F9" s="3">
        <v>3.6999999999999998E-2</v>
      </c>
      <c r="G9" s="3">
        <v>3.6999999999999998E-2</v>
      </c>
      <c r="H9" s="3">
        <v>3.6999999999999998E-2</v>
      </c>
      <c r="I9" s="3">
        <v>3.6999999999999998E-2</v>
      </c>
      <c r="J9" s="3">
        <v>3.7999999999999999E-2</v>
      </c>
      <c r="K9" s="3">
        <v>3.6999999999999998E-2</v>
      </c>
      <c r="L9" s="3">
        <v>3.6999999999999998E-2</v>
      </c>
      <c r="M9" s="3">
        <v>3.6999999999999998E-2</v>
      </c>
    </row>
    <row r="11" spans="1:13" x14ac:dyDescent="0.35">
      <c r="A11" s="1" t="s">
        <v>9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3" x14ac:dyDescent="0.35">
      <c r="A12" s="2" t="s">
        <v>1</v>
      </c>
      <c r="B12" s="3">
        <v>0.35499999999999998</v>
      </c>
      <c r="C12" s="3">
        <v>0.28699999999999998</v>
      </c>
      <c r="D12" s="3">
        <v>0.253</v>
      </c>
      <c r="E12" s="3">
        <v>0.47399999999999998</v>
      </c>
      <c r="F12" s="3">
        <v>0.4</v>
      </c>
      <c r="G12" s="3">
        <v>0.39100000000000001</v>
      </c>
      <c r="H12" s="3" t="s">
        <v>25</v>
      </c>
      <c r="I12" s="3">
        <v>0.159</v>
      </c>
      <c r="J12" s="3">
        <v>0.154</v>
      </c>
      <c r="K12" s="3">
        <v>0.23699999999999999</v>
      </c>
      <c r="L12" s="3">
        <v>0.24099999999999999</v>
      </c>
      <c r="M12" s="3">
        <v>0.21299999999999999</v>
      </c>
    </row>
    <row r="13" spans="1:13" x14ac:dyDescent="0.35">
      <c r="A13" s="2" t="s">
        <v>2</v>
      </c>
      <c r="B13" s="3">
        <v>0.23300000000000001</v>
      </c>
      <c r="C13" s="3">
        <v>0.20799999999999999</v>
      </c>
      <c r="D13" s="3">
        <v>0.24399999999999999</v>
      </c>
      <c r="E13" s="3">
        <v>0.61699999999999999</v>
      </c>
      <c r="F13" s="3">
        <v>0.64800000000000002</v>
      </c>
      <c r="G13" s="3">
        <v>0.72499999999999998</v>
      </c>
      <c r="H13" s="3">
        <v>0.13600000000000001</v>
      </c>
      <c r="I13" s="3">
        <v>0.13400000000000001</v>
      </c>
      <c r="J13" s="3">
        <v>0.152</v>
      </c>
      <c r="K13" s="3">
        <v>0.26500000000000001</v>
      </c>
      <c r="L13" s="3">
        <v>0.308</v>
      </c>
      <c r="M13" s="3">
        <v>0.39900000000000002</v>
      </c>
    </row>
    <row r="14" spans="1:13" x14ac:dyDescent="0.35">
      <c r="A14" s="2" t="s">
        <v>3</v>
      </c>
      <c r="B14" s="3">
        <v>0.17699999999999999</v>
      </c>
      <c r="C14" s="3">
        <v>0.189</v>
      </c>
      <c r="D14" s="3">
        <v>0.16700000000000001</v>
      </c>
      <c r="E14" s="3">
        <v>1.0449999999999999</v>
      </c>
      <c r="F14" s="3">
        <v>0.998</v>
      </c>
      <c r="G14" s="3">
        <v>1.028</v>
      </c>
      <c r="H14" s="3">
        <v>0.104</v>
      </c>
      <c r="I14" s="3">
        <v>0.123</v>
      </c>
      <c r="J14" s="3">
        <v>9.6000000000000002E-2</v>
      </c>
      <c r="K14" s="3">
        <v>0.29899999999999999</v>
      </c>
      <c r="L14" s="3">
        <v>0.29399999999999998</v>
      </c>
      <c r="M14" s="3">
        <v>0.36399999999999999</v>
      </c>
    </row>
    <row r="15" spans="1:13" x14ac:dyDescent="0.35">
      <c r="A15" s="2" t="s">
        <v>4</v>
      </c>
      <c r="B15" s="3">
        <v>0.121</v>
      </c>
      <c r="C15" s="3">
        <v>0.113</v>
      </c>
      <c r="D15" s="3">
        <v>0.104</v>
      </c>
      <c r="E15" s="3">
        <v>4.7E-2</v>
      </c>
      <c r="F15" s="3">
        <v>4.7E-2</v>
      </c>
      <c r="G15" s="3">
        <v>4.7E-2</v>
      </c>
      <c r="H15" s="3" t="s">
        <v>25</v>
      </c>
      <c r="I15" s="3">
        <v>8.2000000000000003E-2</v>
      </c>
      <c r="J15" s="3">
        <v>6.8000000000000005E-2</v>
      </c>
      <c r="K15" s="3">
        <v>4.7E-2</v>
      </c>
      <c r="L15" s="3">
        <v>4.7E-2</v>
      </c>
      <c r="M15" s="3">
        <v>4.7E-2</v>
      </c>
    </row>
    <row r="16" spans="1:13" x14ac:dyDescent="0.35">
      <c r="A16" s="2" t="s">
        <v>5</v>
      </c>
      <c r="B16" s="3">
        <v>8.2000000000000003E-2</v>
      </c>
      <c r="C16" s="3">
        <v>0.08</v>
      </c>
      <c r="D16" s="3">
        <v>7.5999999999999998E-2</v>
      </c>
      <c r="E16" s="3">
        <v>4.7E-2</v>
      </c>
      <c r="F16" s="3">
        <v>4.7E-2</v>
      </c>
      <c r="G16" s="3">
        <v>4.7E-2</v>
      </c>
      <c r="H16" s="3">
        <v>5.7000000000000002E-2</v>
      </c>
      <c r="I16" s="3">
        <v>0.06</v>
      </c>
      <c r="J16" s="3">
        <v>5.8000000000000003E-2</v>
      </c>
      <c r="K16" s="3">
        <v>4.5999999999999999E-2</v>
      </c>
      <c r="L16" s="3">
        <v>4.7E-2</v>
      </c>
      <c r="M16" s="3">
        <v>4.8000000000000001E-2</v>
      </c>
    </row>
    <row r="17" spans="1:13" x14ac:dyDescent="0.35">
      <c r="A17" s="2" t="s">
        <v>6</v>
      </c>
      <c r="B17" s="3">
        <v>6.2E-2</v>
      </c>
      <c r="C17" s="3">
        <v>6.2E-2</v>
      </c>
      <c r="D17" s="3">
        <v>7.0000000000000007E-2</v>
      </c>
      <c r="E17" s="3">
        <v>4.8000000000000001E-2</v>
      </c>
      <c r="F17" s="3">
        <v>4.7E-2</v>
      </c>
      <c r="G17" s="3">
        <v>4.7E-2</v>
      </c>
      <c r="H17" s="3">
        <v>5.2999999999999999E-2</v>
      </c>
      <c r="I17" s="3">
        <v>5.0999999999999997E-2</v>
      </c>
      <c r="J17" s="3">
        <v>5.2999999999999999E-2</v>
      </c>
      <c r="K17" s="3">
        <v>4.7E-2</v>
      </c>
      <c r="L17" s="3">
        <v>4.7E-2</v>
      </c>
      <c r="M17" s="3">
        <v>4.5999999999999999E-2</v>
      </c>
    </row>
    <row r="18" spans="1:13" x14ac:dyDescent="0.35">
      <c r="A18" s="2" t="s">
        <v>7</v>
      </c>
      <c r="B18" s="3">
        <v>0.05</v>
      </c>
      <c r="C18" s="3">
        <v>5.0999999999999997E-2</v>
      </c>
      <c r="D18" s="3">
        <v>0.05</v>
      </c>
      <c r="E18" s="3">
        <v>4.7E-2</v>
      </c>
      <c r="F18" s="3">
        <v>4.7E-2</v>
      </c>
      <c r="G18" s="3">
        <v>4.8000000000000001E-2</v>
      </c>
      <c r="H18" s="3">
        <v>4.4999999999999998E-2</v>
      </c>
      <c r="I18" s="3">
        <v>4.4999999999999998E-2</v>
      </c>
      <c r="J18" s="3">
        <v>4.5999999999999999E-2</v>
      </c>
      <c r="K18" s="3">
        <v>4.7E-2</v>
      </c>
      <c r="L18" s="3">
        <v>4.7E-2</v>
      </c>
      <c r="M18" s="3">
        <v>4.7E-2</v>
      </c>
    </row>
    <row r="19" spans="1:13" x14ac:dyDescent="0.35">
      <c r="A19" s="2" t="s">
        <v>8</v>
      </c>
      <c r="B19" s="3">
        <v>4.2999999999999997E-2</v>
      </c>
      <c r="C19" s="3">
        <v>3.9E-2</v>
      </c>
      <c r="D19" s="3">
        <v>4.2000000000000003E-2</v>
      </c>
      <c r="E19" s="3">
        <v>3.7999999999999999E-2</v>
      </c>
      <c r="F19" s="3">
        <v>3.7999999999999999E-2</v>
      </c>
      <c r="G19" s="3">
        <v>3.7999999999999999E-2</v>
      </c>
      <c r="H19" s="3">
        <v>3.9E-2</v>
      </c>
      <c r="I19" s="3">
        <v>3.9E-2</v>
      </c>
      <c r="J19" s="3">
        <v>4.2999999999999997E-2</v>
      </c>
      <c r="K19" s="3">
        <v>3.7999999999999999E-2</v>
      </c>
      <c r="L19" s="3">
        <v>3.6999999999999998E-2</v>
      </c>
      <c r="M19" s="3">
        <v>3.7999999999999999E-2</v>
      </c>
    </row>
    <row r="21" spans="1:13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3" x14ac:dyDescent="0.35">
      <c r="A22" s="5" t="s">
        <v>1</v>
      </c>
      <c r="B22" s="6" t="s">
        <v>65</v>
      </c>
      <c r="C22" s="6" t="s">
        <v>65</v>
      </c>
      <c r="D22" s="6" t="s">
        <v>65</v>
      </c>
      <c r="E22" s="7" t="s">
        <v>73</v>
      </c>
      <c r="F22" s="7" t="s">
        <v>73</v>
      </c>
      <c r="G22" s="7" t="s">
        <v>73</v>
      </c>
      <c r="H22" s="7" t="s">
        <v>77</v>
      </c>
      <c r="I22" s="7" t="s">
        <v>77</v>
      </c>
      <c r="J22" s="7" t="s">
        <v>77</v>
      </c>
      <c r="K22" s="7" t="s">
        <v>85</v>
      </c>
      <c r="L22" s="7" t="s">
        <v>85</v>
      </c>
      <c r="M22" s="7" t="s">
        <v>85</v>
      </c>
    </row>
    <row r="23" spans="1:13" x14ac:dyDescent="0.35">
      <c r="A23" s="5" t="s">
        <v>2</v>
      </c>
      <c r="B23" s="8" t="s">
        <v>66</v>
      </c>
      <c r="C23" s="9" t="s">
        <v>66</v>
      </c>
      <c r="D23" s="9" t="s">
        <v>66</v>
      </c>
      <c r="E23" s="7" t="s">
        <v>74</v>
      </c>
      <c r="F23" s="7" t="s">
        <v>74</v>
      </c>
      <c r="G23" s="7" t="s">
        <v>74</v>
      </c>
      <c r="H23" s="10" t="s">
        <v>78</v>
      </c>
      <c r="I23" s="11" t="s">
        <v>78</v>
      </c>
      <c r="J23" t="s">
        <v>78</v>
      </c>
      <c r="K23" s="7" t="s">
        <v>86</v>
      </c>
      <c r="L23" s="7" t="s">
        <v>86</v>
      </c>
      <c r="M23" s="7" t="s">
        <v>86</v>
      </c>
    </row>
    <row r="24" spans="1:13" x14ac:dyDescent="0.35">
      <c r="A24" s="5" t="s">
        <v>3</v>
      </c>
      <c r="B24" s="6" t="s">
        <v>67</v>
      </c>
      <c r="C24" s="6" t="s">
        <v>67</v>
      </c>
      <c r="D24" s="6" t="s">
        <v>67</v>
      </c>
      <c r="E24" s="7" t="s">
        <v>75</v>
      </c>
      <c r="F24" s="7" t="s">
        <v>75</v>
      </c>
      <c r="G24" s="7" t="s">
        <v>75</v>
      </c>
      <c r="H24" s="7" t="s">
        <v>79</v>
      </c>
      <c r="I24" s="7" t="s">
        <v>79</v>
      </c>
      <c r="J24" s="7" t="s">
        <v>79</v>
      </c>
      <c r="K24" s="7" t="s">
        <v>87</v>
      </c>
      <c r="L24" s="7" t="s">
        <v>87</v>
      </c>
      <c r="M24" s="7" t="s">
        <v>87</v>
      </c>
    </row>
    <row r="25" spans="1:13" x14ac:dyDescent="0.35">
      <c r="A25" s="5" t="s">
        <v>4</v>
      </c>
      <c r="B25" s="6" t="s">
        <v>68</v>
      </c>
      <c r="C25" s="6" t="s">
        <v>68</v>
      </c>
      <c r="D25" s="6" t="s">
        <v>68</v>
      </c>
      <c r="E25" s="7" t="s">
        <v>25</v>
      </c>
      <c r="F25" s="7" t="s">
        <v>25</v>
      </c>
      <c r="G25" s="7" t="s">
        <v>25</v>
      </c>
      <c r="H25" s="7" t="s">
        <v>80</v>
      </c>
      <c r="I25" s="7" t="s">
        <v>80</v>
      </c>
      <c r="J25" s="7" t="s">
        <v>80</v>
      </c>
      <c r="K25" s="7" t="s">
        <v>25</v>
      </c>
      <c r="L25" s="7" t="s">
        <v>25</v>
      </c>
      <c r="M25" s="7" t="s">
        <v>25</v>
      </c>
    </row>
    <row r="26" spans="1:13" x14ac:dyDescent="0.35">
      <c r="A26" s="5" t="s">
        <v>5</v>
      </c>
      <c r="B26" s="6" t="s">
        <v>69</v>
      </c>
      <c r="C26" s="6" t="s">
        <v>69</v>
      </c>
      <c r="D26" s="6" t="s">
        <v>69</v>
      </c>
      <c r="E26" s="7" t="s">
        <v>25</v>
      </c>
      <c r="F26" s="7" t="s">
        <v>25</v>
      </c>
      <c r="G26" s="7" t="s">
        <v>25</v>
      </c>
      <c r="H26" s="7" t="s">
        <v>81</v>
      </c>
      <c r="I26" s="7" t="s">
        <v>81</v>
      </c>
      <c r="J26" s="7" t="s">
        <v>81</v>
      </c>
      <c r="K26" s="7" t="s">
        <v>25</v>
      </c>
      <c r="L26" s="7" t="s">
        <v>25</v>
      </c>
      <c r="M26" s="7" t="s">
        <v>25</v>
      </c>
    </row>
    <row r="27" spans="1:13" x14ac:dyDescent="0.35">
      <c r="A27" s="5" t="s">
        <v>6</v>
      </c>
      <c r="B27" s="6" t="s">
        <v>70</v>
      </c>
      <c r="C27" s="6" t="s">
        <v>70</v>
      </c>
      <c r="D27" s="6" t="s">
        <v>70</v>
      </c>
      <c r="E27" s="7" t="s">
        <v>25</v>
      </c>
      <c r="F27" s="7" t="s">
        <v>25</v>
      </c>
      <c r="G27" s="7" t="s">
        <v>25</v>
      </c>
      <c r="H27" s="7" t="s">
        <v>82</v>
      </c>
      <c r="I27" s="7" t="s">
        <v>82</v>
      </c>
      <c r="J27" s="7" t="s">
        <v>82</v>
      </c>
      <c r="K27" s="7" t="s">
        <v>25</v>
      </c>
      <c r="L27" s="7" t="s">
        <v>25</v>
      </c>
      <c r="M27" s="7" t="s">
        <v>25</v>
      </c>
    </row>
    <row r="28" spans="1:13" x14ac:dyDescent="0.35">
      <c r="A28" s="5" t="s">
        <v>7</v>
      </c>
      <c r="B28" s="6" t="s">
        <v>71</v>
      </c>
      <c r="C28" s="6" t="s">
        <v>71</v>
      </c>
      <c r="D28" s="6" t="s">
        <v>71</v>
      </c>
      <c r="E28" s="7" t="s">
        <v>25</v>
      </c>
      <c r="F28" s="7" t="s">
        <v>25</v>
      </c>
      <c r="G28" s="7" t="s">
        <v>25</v>
      </c>
      <c r="H28" s="7" t="s">
        <v>83</v>
      </c>
      <c r="I28" s="7" t="s">
        <v>83</v>
      </c>
      <c r="J28" s="7" t="s">
        <v>83</v>
      </c>
      <c r="K28" s="7" t="s">
        <v>25</v>
      </c>
      <c r="L28" s="7" t="s">
        <v>25</v>
      </c>
      <c r="M28" s="7" t="s">
        <v>25</v>
      </c>
    </row>
    <row r="29" spans="1:13" ht="25" x14ac:dyDescent="0.35">
      <c r="A29" s="5" t="s">
        <v>8</v>
      </c>
      <c r="B29" s="6" t="s">
        <v>72</v>
      </c>
      <c r="C29" s="6" t="s">
        <v>72</v>
      </c>
      <c r="D29" s="6" t="s">
        <v>72</v>
      </c>
      <c r="E29" s="7" t="s">
        <v>76</v>
      </c>
      <c r="F29" s="7" t="s">
        <v>76</v>
      </c>
      <c r="G29" s="7" t="s">
        <v>76</v>
      </c>
      <c r="H29" s="7" t="s">
        <v>84</v>
      </c>
      <c r="I29" s="7" t="s">
        <v>84</v>
      </c>
      <c r="J29" s="7" t="s">
        <v>84</v>
      </c>
      <c r="K29" s="7" t="s">
        <v>76</v>
      </c>
      <c r="L29" s="7" t="s">
        <v>76</v>
      </c>
      <c r="M29" s="7" t="s">
        <v>76</v>
      </c>
    </row>
    <row r="31" spans="1:13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3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  <row r="41" spans="1:13" x14ac:dyDescent="0.35">
      <c r="A41" s="4" t="s">
        <v>12</v>
      </c>
      <c r="B41" s="5">
        <v>1</v>
      </c>
      <c r="C41" s="5">
        <v>2</v>
      </c>
      <c r="D41" s="5">
        <v>3</v>
      </c>
      <c r="E41" s="5">
        <v>4</v>
      </c>
      <c r="F41" s="5">
        <v>5</v>
      </c>
      <c r="G41" s="5">
        <v>6</v>
      </c>
      <c r="H41" s="5">
        <v>7</v>
      </c>
      <c r="I41" s="5">
        <v>8</v>
      </c>
      <c r="J41" s="5">
        <v>9</v>
      </c>
      <c r="K41" s="5">
        <v>10</v>
      </c>
      <c r="L41" s="5">
        <v>11</v>
      </c>
      <c r="M41" s="5">
        <v>12</v>
      </c>
    </row>
    <row r="42" spans="1:13" x14ac:dyDescent="0.35">
      <c r="A42" s="5" t="s">
        <v>1</v>
      </c>
      <c r="B42" s="6">
        <v>60</v>
      </c>
      <c r="C42" s="6">
        <v>60</v>
      </c>
      <c r="D42" s="6">
        <v>60</v>
      </c>
      <c r="E42" s="7">
        <v>100</v>
      </c>
      <c r="F42" s="7">
        <v>100</v>
      </c>
      <c r="G42" s="7">
        <v>100</v>
      </c>
      <c r="H42" s="6">
        <v>60</v>
      </c>
      <c r="I42" s="6">
        <v>60</v>
      </c>
      <c r="J42" s="6">
        <v>60</v>
      </c>
      <c r="K42" s="7">
        <v>100</v>
      </c>
      <c r="L42" s="7">
        <v>100</v>
      </c>
      <c r="M42" s="7">
        <v>100</v>
      </c>
    </row>
    <row r="43" spans="1:13" x14ac:dyDescent="0.35">
      <c r="A43" s="5" t="s">
        <v>2</v>
      </c>
      <c r="B43" s="9">
        <v>45</v>
      </c>
      <c r="C43" s="9">
        <v>45</v>
      </c>
      <c r="D43" s="9">
        <v>45</v>
      </c>
      <c r="E43" s="7">
        <v>250</v>
      </c>
      <c r="F43" s="7">
        <v>250</v>
      </c>
      <c r="G43" s="7">
        <v>250</v>
      </c>
      <c r="H43" s="9">
        <v>45</v>
      </c>
      <c r="I43" s="9">
        <v>45</v>
      </c>
      <c r="J43" s="9">
        <v>45</v>
      </c>
      <c r="K43" s="7">
        <v>250</v>
      </c>
      <c r="L43" s="7">
        <v>250</v>
      </c>
      <c r="M43" s="7">
        <v>250</v>
      </c>
    </row>
    <row r="44" spans="1:13" x14ac:dyDescent="0.35">
      <c r="A44" s="5" t="s">
        <v>3</v>
      </c>
      <c r="B44" s="6">
        <v>30</v>
      </c>
      <c r="C44" s="6">
        <v>30</v>
      </c>
      <c r="D44" s="6">
        <v>30</v>
      </c>
      <c r="E44" s="7">
        <v>500</v>
      </c>
      <c r="F44" s="7">
        <v>500</v>
      </c>
      <c r="G44" s="7">
        <v>500</v>
      </c>
      <c r="H44" s="6">
        <v>30</v>
      </c>
      <c r="I44" s="6">
        <v>30</v>
      </c>
      <c r="J44" s="6">
        <v>30</v>
      </c>
      <c r="K44" s="7">
        <v>500</v>
      </c>
      <c r="L44" s="7">
        <v>500</v>
      </c>
      <c r="M44" s="7">
        <v>500</v>
      </c>
    </row>
    <row r="45" spans="1:13" x14ac:dyDescent="0.35">
      <c r="A45" s="5" t="s">
        <v>4</v>
      </c>
      <c r="B45" s="6">
        <v>18</v>
      </c>
      <c r="C45" s="6">
        <v>18</v>
      </c>
      <c r="D45" s="6">
        <v>18</v>
      </c>
      <c r="E45" s="7" t="s">
        <v>25</v>
      </c>
      <c r="F45" s="7" t="s">
        <v>25</v>
      </c>
      <c r="G45" s="7" t="s">
        <v>25</v>
      </c>
      <c r="H45" s="6">
        <v>18</v>
      </c>
      <c r="I45" s="6">
        <v>18</v>
      </c>
      <c r="J45" s="6">
        <v>18</v>
      </c>
      <c r="K45" s="7" t="s">
        <v>25</v>
      </c>
      <c r="L45" s="7" t="s">
        <v>25</v>
      </c>
      <c r="M45" s="7" t="s">
        <v>25</v>
      </c>
    </row>
    <row r="46" spans="1:13" x14ac:dyDescent="0.35">
      <c r="A46" s="5" t="s">
        <v>5</v>
      </c>
      <c r="B46" s="6">
        <v>9</v>
      </c>
      <c r="C46" s="6">
        <v>9</v>
      </c>
      <c r="D46" s="6">
        <v>9</v>
      </c>
      <c r="E46" s="7" t="s">
        <v>25</v>
      </c>
      <c r="F46" s="7" t="s">
        <v>25</v>
      </c>
      <c r="G46" s="7" t="s">
        <v>25</v>
      </c>
      <c r="H46" s="6">
        <v>9</v>
      </c>
      <c r="I46" s="6">
        <v>9</v>
      </c>
      <c r="J46" s="6">
        <v>9</v>
      </c>
      <c r="K46" s="7" t="s">
        <v>25</v>
      </c>
      <c r="L46" s="7" t="s">
        <v>25</v>
      </c>
      <c r="M46" s="7" t="s">
        <v>25</v>
      </c>
    </row>
    <row r="47" spans="1:13" x14ac:dyDescent="0.35">
      <c r="A47" s="5" t="s">
        <v>6</v>
      </c>
      <c r="B47" s="6">
        <v>6</v>
      </c>
      <c r="C47" s="6">
        <v>6</v>
      </c>
      <c r="D47" s="6">
        <v>6</v>
      </c>
      <c r="E47" s="7" t="s">
        <v>25</v>
      </c>
      <c r="F47" s="7" t="s">
        <v>25</v>
      </c>
      <c r="G47" s="7" t="s">
        <v>25</v>
      </c>
      <c r="H47" s="6">
        <v>6</v>
      </c>
      <c r="I47" s="6">
        <v>6</v>
      </c>
      <c r="J47" s="6">
        <v>6</v>
      </c>
      <c r="K47" s="7" t="s">
        <v>25</v>
      </c>
      <c r="L47" s="7" t="s">
        <v>25</v>
      </c>
      <c r="M47" s="7" t="s">
        <v>25</v>
      </c>
    </row>
    <row r="48" spans="1:13" x14ac:dyDescent="0.35">
      <c r="A48" s="5" t="s">
        <v>7</v>
      </c>
      <c r="B48" s="6">
        <v>3</v>
      </c>
      <c r="C48" s="6">
        <v>3</v>
      </c>
      <c r="D48" s="6">
        <v>3</v>
      </c>
      <c r="E48" s="7" t="s">
        <v>25</v>
      </c>
      <c r="F48" s="7" t="s">
        <v>25</v>
      </c>
      <c r="G48" s="7" t="s">
        <v>25</v>
      </c>
      <c r="H48" s="6">
        <v>3</v>
      </c>
      <c r="I48" s="6">
        <v>3</v>
      </c>
      <c r="J48" s="6">
        <v>3</v>
      </c>
      <c r="K48" s="7" t="s">
        <v>25</v>
      </c>
      <c r="L48" s="7" t="s">
        <v>25</v>
      </c>
      <c r="M48" s="7" t="s">
        <v>25</v>
      </c>
    </row>
    <row r="49" spans="1:13" ht="17.25" customHeight="1" x14ac:dyDescent="0.35">
      <c r="A49" s="5" t="s">
        <v>8</v>
      </c>
      <c r="B49" s="6">
        <v>0.6</v>
      </c>
      <c r="C49" s="6">
        <v>0.6</v>
      </c>
      <c r="D49" s="6">
        <v>0.6</v>
      </c>
      <c r="E49" s="7">
        <v>0</v>
      </c>
      <c r="F49" s="7">
        <v>0</v>
      </c>
      <c r="G49" s="7">
        <v>0</v>
      </c>
      <c r="H49" s="6">
        <v>0.6</v>
      </c>
      <c r="I49" s="6">
        <v>0.6</v>
      </c>
      <c r="J49" s="6">
        <v>0.6</v>
      </c>
      <c r="K49" s="7">
        <v>0</v>
      </c>
      <c r="L49" s="7">
        <v>0</v>
      </c>
      <c r="M49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7AAF-287C-43F9-8C0B-4ACAD567778D}">
  <sheetPr codeName="Sheet8"/>
  <dimension ref="A1:Q39"/>
  <sheetViews>
    <sheetView topLeftCell="A15" zoomScale="98" zoomScaleNormal="98" workbookViewId="0">
      <selection activeCell="H27" sqref="H27"/>
    </sheetView>
  </sheetViews>
  <sheetFormatPr defaultRowHeight="14.5" x14ac:dyDescent="0.35"/>
  <cols>
    <col min="1" max="1" width="11.26953125" customWidth="1"/>
    <col min="7" max="7" width="11.1796875" customWidth="1"/>
    <col min="8" max="8" width="12.26953125" customWidth="1"/>
    <col min="9" max="9" width="11.453125" customWidth="1"/>
    <col min="10" max="10" width="11.81640625" customWidth="1"/>
  </cols>
  <sheetData>
    <row r="1" spans="1:17" x14ac:dyDescent="0.35">
      <c r="A1" s="1" t="s">
        <v>39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7" x14ac:dyDescent="0.35">
      <c r="A2" s="2" t="s">
        <v>1</v>
      </c>
      <c r="B2" s="3">
        <v>0.187</v>
      </c>
      <c r="C2" s="3">
        <v>0.193</v>
      </c>
      <c r="D2" s="3">
        <v>0.189</v>
      </c>
      <c r="E2" s="3">
        <v>4.8000000000000001E-2</v>
      </c>
      <c r="F2" s="3">
        <v>4.9000000000000002E-2</v>
      </c>
      <c r="G2" s="3">
        <v>4.7E-2</v>
      </c>
      <c r="H2" s="3">
        <v>0.10199999999999999</v>
      </c>
      <c r="I2" s="3">
        <v>9.7000000000000003E-2</v>
      </c>
      <c r="J2" s="3">
        <v>9.4E-2</v>
      </c>
      <c r="K2" s="3">
        <v>4.5999999999999999E-2</v>
      </c>
      <c r="L2" s="3">
        <v>4.7E-2</v>
      </c>
      <c r="M2" s="3">
        <v>5.0999999999999997E-2</v>
      </c>
    </row>
    <row r="3" spans="1:17" x14ac:dyDescent="0.35">
      <c r="A3" s="2" t="s">
        <v>2</v>
      </c>
      <c r="B3" s="3">
        <v>7.2999999999999995E-2</v>
      </c>
      <c r="C3" s="3">
        <v>8.1000000000000003E-2</v>
      </c>
      <c r="D3" s="3">
        <v>7.4999999999999997E-2</v>
      </c>
      <c r="E3" s="3">
        <v>4.7E-2</v>
      </c>
      <c r="F3" s="3">
        <v>4.5999999999999999E-2</v>
      </c>
      <c r="G3" s="3">
        <v>4.5999999999999999E-2</v>
      </c>
      <c r="H3" s="3">
        <v>0.11899999999999999</v>
      </c>
      <c r="I3" s="3">
        <v>0.115</v>
      </c>
      <c r="J3" s="3">
        <v>0.114</v>
      </c>
      <c r="K3" s="3">
        <v>4.7E-2</v>
      </c>
      <c r="L3" s="3">
        <v>4.7E-2</v>
      </c>
      <c r="M3" s="3">
        <v>4.7E-2</v>
      </c>
    </row>
    <row r="4" spans="1:17" x14ac:dyDescent="0.35">
      <c r="A4" s="2" t="s">
        <v>3</v>
      </c>
      <c r="B4" s="3">
        <v>5.3999999999999999E-2</v>
      </c>
      <c r="C4" s="3">
        <v>5.1999999999999998E-2</v>
      </c>
      <c r="D4" s="3">
        <v>5.1999999999999998E-2</v>
      </c>
      <c r="E4" s="3">
        <v>7.0999999999999994E-2</v>
      </c>
      <c r="F4" s="3">
        <v>6.9000000000000006E-2</v>
      </c>
      <c r="G4" s="3">
        <v>6.8000000000000005E-2</v>
      </c>
      <c r="H4" s="3">
        <v>8.7999999999999995E-2</v>
      </c>
      <c r="I4" s="3">
        <v>7.2999999999999995E-2</v>
      </c>
      <c r="J4" s="3">
        <v>8.5000000000000006E-2</v>
      </c>
      <c r="K4" s="3">
        <v>4.7E-2</v>
      </c>
      <c r="L4" s="3">
        <v>4.7E-2</v>
      </c>
      <c r="M4" s="3">
        <v>4.7E-2</v>
      </c>
    </row>
    <row r="5" spans="1:17" x14ac:dyDescent="0.35">
      <c r="A5" s="2" t="s">
        <v>4</v>
      </c>
      <c r="B5" s="3">
        <v>3.7999999999999999E-2</v>
      </c>
      <c r="C5" s="3">
        <v>3.6999999999999998E-2</v>
      </c>
      <c r="D5" s="3">
        <v>3.6999999999999998E-2</v>
      </c>
      <c r="E5" s="3">
        <v>0.1</v>
      </c>
      <c r="F5" s="3">
        <v>9.7000000000000003E-2</v>
      </c>
      <c r="G5" s="3">
        <v>9.5000000000000001E-2</v>
      </c>
      <c r="H5" s="3">
        <v>8.6999999999999994E-2</v>
      </c>
      <c r="I5" s="3">
        <v>8.4000000000000005E-2</v>
      </c>
      <c r="J5" s="3">
        <v>8.4000000000000005E-2</v>
      </c>
      <c r="K5" s="3">
        <v>4.7E-2</v>
      </c>
      <c r="L5" s="3">
        <v>4.7E-2</v>
      </c>
      <c r="M5" s="3">
        <v>4.8000000000000001E-2</v>
      </c>
      <c r="O5" t="s">
        <v>61</v>
      </c>
      <c r="P5" t="s">
        <v>62</v>
      </c>
    </row>
    <row r="6" spans="1:17" x14ac:dyDescent="0.35">
      <c r="A6" s="2" t="s">
        <v>5</v>
      </c>
      <c r="B6" s="3">
        <v>3.9E-2</v>
      </c>
      <c r="C6" s="3">
        <v>3.9E-2</v>
      </c>
      <c r="D6" s="3">
        <v>3.7999999999999999E-2</v>
      </c>
      <c r="E6" s="3">
        <v>6.2E-2</v>
      </c>
      <c r="F6" s="3">
        <v>5.8999999999999997E-2</v>
      </c>
      <c r="G6" s="3">
        <v>5.8999999999999997E-2</v>
      </c>
      <c r="H6" s="3">
        <v>1.097</v>
      </c>
      <c r="I6" s="3">
        <v>0.98099999999999998</v>
      </c>
      <c r="J6" s="3">
        <v>1.097</v>
      </c>
      <c r="K6" s="3">
        <v>4.7E-2</v>
      </c>
      <c r="L6" s="3">
        <v>4.7E-2</v>
      </c>
      <c r="M6" s="3">
        <v>4.7E-2</v>
      </c>
      <c r="O6">
        <f>AVERAGE(H6:J6)</f>
        <v>1.0583333333333333</v>
      </c>
      <c r="P6">
        <f>(O6-0.0599)/0.0017</f>
        <v>587.31372549019613</v>
      </c>
    </row>
    <row r="7" spans="1:17" x14ac:dyDescent="0.35">
      <c r="A7" s="2" t="s">
        <v>6</v>
      </c>
      <c r="B7" s="3">
        <v>3.6999999999999998E-2</v>
      </c>
      <c r="C7" s="3">
        <v>3.6999999999999998E-2</v>
      </c>
      <c r="D7" s="3">
        <v>4.5999999999999999E-2</v>
      </c>
      <c r="E7" s="3">
        <v>0.11600000000000001</v>
      </c>
      <c r="F7" s="3">
        <v>0.113</v>
      </c>
      <c r="G7" s="3">
        <v>0.114</v>
      </c>
      <c r="H7" s="3">
        <v>0.49</v>
      </c>
      <c r="I7" s="3">
        <v>0.58299999999999996</v>
      </c>
      <c r="J7" s="3">
        <v>0.56599999999999995</v>
      </c>
      <c r="K7" s="3">
        <v>4.7E-2</v>
      </c>
      <c r="L7" s="3">
        <v>4.7E-2</v>
      </c>
      <c r="M7" s="3">
        <v>4.7E-2</v>
      </c>
      <c r="O7">
        <f t="shared" ref="O7:O9" si="0">AVERAGE(H7:J7)</f>
        <v>0.54633333333333323</v>
      </c>
      <c r="P7">
        <f t="shared" ref="P7:P9" si="1">(O7-0.0599)/0.0017</f>
        <v>286.13725490196072</v>
      </c>
    </row>
    <row r="8" spans="1:17" x14ac:dyDescent="0.35">
      <c r="A8" s="2" t="s">
        <v>7</v>
      </c>
      <c r="B8" s="3">
        <v>3.6999999999999998E-2</v>
      </c>
      <c r="C8" s="3">
        <v>3.7999999999999999E-2</v>
      </c>
      <c r="D8" s="3">
        <v>3.6999999999999998E-2</v>
      </c>
      <c r="E8" s="3">
        <v>0.13300000000000001</v>
      </c>
      <c r="F8" s="3">
        <v>0.125</v>
      </c>
      <c r="G8" s="3">
        <v>0.125</v>
      </c>
      <c r="H8" s="3">
        <v>0.96699999999999997</v>
      </c>
      <c r="I8" s="3">
        <v>1.2190000000000001</v>
      </c>
      <c r="J8" s="3">
        <v>1.19</v>
      </c>
      <c r="K8" s="3">
        <v>4.7E-2</v>
      </c>
      <c r="L8" s="3">
        <v>4.7E-2</v>
      </c>
      <c r="M8" s="3">
        <v>4.7E-2</v>
      </c>
      <c r="O8">
        <f t="shared" si="0"/>
        <v>1.1253333333333333</v>
      </c>
      <c r="P8">
        <f t="shared" si="1"/>
        <v>626.72549019607845</v>
      </c>
    </row>
    <row r="9" spans="1:17" x14ac:dyDescent="0.35">
      <c r="A9" s="2" t="s">
        <v>8</v>
      </c>
      <c r="B9" s="3">
        <v>3.7999999999999999E-2</v>
      </c>
      <c r="C9" s="3">
        <v>3.7999999999999999E-2</v>
      </c>
      <c r="D9" s="3">
        <v>3.7999999999999999E-2</v>
      </c>
      <c r="E9" s="3">
        <v>0.18099999999999999</v>
      </c>
      <c r="F9" s="3">
        <v>0.182</v>
      </c>
      <c r="G9" s="3">
        <v>0.17899999999999999</v>
      </c>
      <c r="H9" s="3">
        <v>0.93300000000000005</v>
      </c>
      <c r="I9" s="3">
        <v>1.276</v>
      </c>
      <c r="J9" s="3">
        <v>1.0740000000000001</v>
      </c>
      <c r="K9" s="3">
        <v>4.7E-2</v>
      </c>
      <c r="L9" s="3">
        <v>4.7E-2</v>
      </c>
      <c r="M9" s="3">
        <v>4.5999999999999999E-2</v>
      </c>
      <c r="O9">
        <f t="shared" si="0"/>
        <v>1.0943333333333334</v>
      </c>
      <c r="P9">
        <f t="shared" si="1"/>
        <v>608.49019607843138</v>
      </c>
    </row>
    <row r="11" spans="1:17" x14ac:dyDescent="0.35">
      <c r="A11" s="1" t="s">
        <v>40</v>
      </c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7" x14ac:dyDescent="0.35">
      <c r="A12" s="2" t="s">
        <v>1</v>
      </c>
      <c r="B12" s="3">
        <v>0.307</v>
      </c>
      <c r="C12" s="3">
        <v>0.30599999999999999</v>
      </c>
      <c r="D12" s="3">
        <v>0.29699999999999999</v>
      </c>
      <c r="E12" s="3">
        <v>5.0999999999999997E-2</v>
      </c>
      <c r="F12" s="3">
        <v>0.05</v>
      </c>
      <c r="G12" s="3">
        <v>4.8000000000000001E-2</v>
      </c>
      <c r="H12" s="3">
        <v>0.107</v>
      </c>
      <c r="I12" s="3">
        <v>9.9000000000000005E-2</v>
      </c>
      <c r="J12" s="3">
        <v>9.7000000000000003E-2</v>
      </c>
      <c r="K12" s="3">
        <v>4.7E-2</v>
      </c>
      <c r="L12" s="3">
        <v>4.7E-2</v>
      </c>
      <c r="M12" s="3">
        <v>5.0999999999999997E-2</v>
      </c>
    </row>
    <row r="13" spans="1:17" x14ac:dyDescent="0.35">
      <c r="A13" s="2" t="s">
        <v>2</v>
      </c>
      <c r="B13" s="3">
        <v>0.113</v>
      </c>
      <c r="C13" s="3">
        <v>0.111</v>
      </c>
      <c r="D13" s="3">
        <v>0.11600000000000001</v>
      </c>
      <c r="E13" s="3">
        <v>4.8000000000000001E-2</v>
      </c>
      <c r="F13" s="3">
        <v>4.7E-2</v>
      </c>
      <c r="G13" s="3">
        <v>4.8000000000000001E-2</v>
      </c>
      <c r="H13" s="3">
        <v>0.121</v>
      </c>
      <c r="I13" s="3">
        <v>0.11899999999999999</v>
      </c>
      <c r="J13" s="3">
        <v>0.12</v>
      </c>
      <c r="K13" s="3">
        <v>4.7E-2</v>
      </c>
      <c r="L13" s="3">
        <v>4.7E-2</v>
      </c>
      <c r="M13" s="3">
        <v>4.5999999999999999E-2</v>
      </c>
    </row>
    <row r="14" spans="1:17" x14ac:dyDescent="0.35">
      <c r="A14" s="2" t="s">
        <v>3</v>
      </c>
      <c r="B14" s="3">
        <v>6.5000000000000002E-2</v>
      </c>
      <c r="C14" s="3">
        <v>6.7000000000000004E-2</v>
      </c>
      <c r="D14" s="3">
        <v>6.3E-2</v>
      </c>
      <c r="E14" s="3">
        <v>8.3000000000000004E-2</v>
      </c>
      <c r="F14" s="3">
        <v>9.8000000000000004E-2</v>
      </c>
      <c r="G14" s="3">
        <v>8.2000000000000003E-2</v>
      </c>
      <c r="H14" s="3">
        <v>8.6999999999999994E-2</v>
      </c>
      <c r="I14" s="3">
        <v>8.8999999999999996E-2</v>
      </c>
      <c r="J14" s="3">
        <v>8.5000000000000006E-2</v>
      </c>
      <c r="K14" s="3">
        <v>4.7E-2</v>
      </c>
      <c r="L14" s="3">
        <v>4.7E-2</v>
      </c>
      <c r="M14" s="3">
        <v>4.7E-2</v>
      </c>
    </row>
    <row r="15" spans="1:17" x14ac:dyDescent="0.35">
      <c r="A15" s="2" t="s">
        <v>4</v>
      </c>
      <c r="B15" s="3">
        <v>3.7999999999999999E-2</v>
      </c>
      <c r="C15" s="3">
        <v>3.6999999999999998E-2</v>
      </c>
      <c r="D15" s="3">
        <v>3.7999999999999999E-2</v>
      </c>
      <c r="E15" s="3">
        <v>0.10100000000000001</v>
      </c>
      <c r="F15" s="3">
        <v>9.7000000000000003E-2</v>
      </c>
      <c r="G15" s="3">
        <v>9.4E-2</v>
      </c>
      <c r="H15" s="3">
        <v>8.7999999999999995E-2</v>
      </c>
      <c r="I15" s="3">
        <v>8.5000000000000006E-2</v>
      </c>
      <c r="J15" s="3">
        <v>8.4000000000000005E-2</v>
      </c>
      <c r="K15" s="3">
        <v>4.7E-2</v>
      </c>
      <c r="L15" s="3">
        <v>4.7E-2</v>
      </c>
      <c r="M15" s="3">
        <v>4.8000000000000001E-2</v>
      </c>
      <c r="O15" t="s">
        <v>60</v>
      </c>
      <c r="P15" t="s">
        <v>63</v>
      </c>
      <c r="Q15" t="s">
        <v>64</v>
      </c>
    </row>
    <row r="16" spans="1:17" x14ac:dyDescent="0.35">
      <c r="A16" s="2" t="s">
        <v>5</v>
      </c>
      <c r="B16" s="3">
        <v>0.157</v>
      </c>
      <c r="C16" s="3">
        <v>0.14799999999999999</v>
      </c>
      <c r="D16" s="3">
        <v>0.16900000000000001</v>
      </c>
      <c r="E16" s="3">
        <v>6.3E-2</v>
      </c>
      <c r="F16" s="3">
        <v>0.06</v>
      </c>
      <c r="G16" s="3">
        <v>5.8999999999999997E-2</v>
      </c>
      <c r="H16" s="3">
        <v>1.1850000000000001</v>
      </c>
      <c r="I16" s="3">
        <v>1.083</v>
      </c>
      <c r="J16" s="3">
        <v>1.234</v>
      </c>
      <c r="K16" s="3">
        <v>4.7E-2</v>
      </c>
      <c r="L16" s="3">
        <v>4.7E-2</v>
      </c>
      <c r="M16" s="3">
        <v>4.7E-2</v>
      </c>
      <c r="O16">
        <f>AVERAGE(H16:J16)</f>
        <v>1.1673333333333333</v>
      </c>
      <c r="P16">
        <f>((O16-0.235)/0.0002)*1.25</f>
        <v>5827.0833333333321</v>
      </c>
      <c r="Q16">
        <f>P16-P6</f>
        <v>5239.7696078431363</v>
      </c>
    </row>
    <row r="17" spans="1:17" x14ac:dyDescent="0.35">
      <c r="A17" s="2" t="s">
        <v>6</v>
      </c>
      <c r="B17" s="3">
        <v>0.10299999999999999</v>
      </c>
      <c r="C17" s="3">
        <v>0.10199999999999999</v>
      </c>
      <c r="D17" s="3">
        <v>0.124</v>
      </c>
      <c r="E17" s="3">
        <v>0.11700000000000001</v>
      </c>
      <c r="F17" s="3">
        <v>0.115</v>
      </c>
      <c r="G17" s="3">
        <v>0.11700000000000001</v>
      </c>
      <c r="H17" s="3">
        <v>0.627</v>
      </c>
      <c r="I17" s="3">
        <v>0.72599999999999998</v>
      </c>
      <c r="J17" s="3">
        <v>0.753</v>
      </c>
      <c r="K17" s="3">
        <v>4.7E-2</v>
      </c>
      <c r="L17" s="3">
        <v>4.7E-2</v>
      </c>
      <c r="M17" s="3">
        <v>4.7E-2</v>
      </c>
      <c r="O17">
        <f t="shared" ref="O17:O19" si="2">AVERAGE(H17:J17)</f>
        <v>0.70199999999999996</v>
      </c>
      <c r="P17">
        <f t="shared" ref="P17:P19" si="3">(O17-0.0424)/0.0019</f>
        <v>347.15789473684208</v>
      </c>
      <c r="Q17">
        <f t="shared" ref="Q17:Q19" si="4">P17-P7</f>
        <v>61.020639834881365</v>
      </c>
    </row>
    <row r="18" spans="1:17" x14ac:dyDescent="0.35">
      <c r="A18" s="2" t="s">
        <v>7</v>
      </c>
      <c r="B18" s="3">
        <v>5.3999999999999999E-2</v>
      </c>
      <c r="C18" s="3">
        <v>5.1999999999999998E-2</v>
      </c>
      <c r="D18" s="3">
        <v>4.9000000000000002E-2</v>
      </c>
      <c r="E18" s="3">
        <v>0.13300000000000001</v>
      </c>
      <c r="F18" s="3">
        <v>0.128</v>
      </c>
      <c r="G18" s="3">
        <v>0.127</v>
      </c>
      <c r="H18" s="3">
        <v>1.349</v>
      </c>
      <c r="I18" s="3">
        <v>1.2789999999999999</v>
      </c>
      <c r="J18" s="3">
        <v>1.234</v>
      </c>
      <c r="K18" s="3">
        <v>4.7E-2</v>
      </c>
      <c r="L18" s="3">
        <v>4.7E-2</v>
      </c>
      <c r="M18" s="3">
        <v>4.7E-2</v>
      </c>
      <c r="O18">
        <f t="shared" si="2"/>
        <v>1.2873333333333334</v>
      </c>
      <c r="P18">
        <f t="shared" si="3"/>
        <v>655.22807017543869</v>
      </c>
      <c r="Q18">
        <f t="shared" si="4"/>
        <v>28.502579979360235</v>
      </c>
    </row>
    <row r="19" spans="1:17" x14ac:dyDescent="0.35">
      <c r="A19" s="2" t="s">
        <v>8</v>
      </c>
      <c r="B19" s="3">
        <v>3.7999999999999999E-2</v>
      </c>
      <c r="C19" s="3">
        <v>3.7999999999999999E-2</v>
      </c>
      <c r="D19" s="3">
        <v>3.7999999999999999E-2</v>
      </c>
      <c r="E19" s="3">
        <v>0.189</v>
      </c>
      <c r="F19" s="3">
        <v>0.189</v>
      </c>
      <c r="G19" s="3">
        <v>0.184</v>
      </c>
      <c r="H19" s="3">
        <v>1.304</v>
      </c>
      <c r="I19" s="3">
        <v>1.2370000000000001</v>
      </c>
      <c r="J19" s="3">
        <v>1.129</v>
      </c>
      <c r="K19" s="3">
        <v>4.7E-2</v>
      </c>
      <c r="L19" s="3">
        <v>4.7E-2</v>
      </c>
      <c r="M19" s="3">
        <v>4.7E-2</v>
      </c>
      <c r="O19">
        <f t="shared" si="2"/>
        <v>1.2233333333333334</v>
      </c>
      <c r="P19">
        <f t="shared" si="3"/>
        <v>621.54385964912285</v>
      </c>
      <c r="Q19">
        <f t="shared" si="4"/>
        <v>13.053663570691469</v>
      </c>
    </row>
    <row r="21" spans="1:17" x14ac:dyDescent="0.35">
      <c r="A21" s="4" t="s">
        <v>10</v>
      </c>
      <c r="B21" s="5">
        <v>1</v>
      </c>
      <c r="C21" s="5">
        <v>2</v>
      </c>
      <c r="D21" s="5">
        <v>3</v>
      </c>
      <c r="E21" s="5">
        <v>4</v>
      </c>
      <c r="F21" s="5">
        <v>5</v>
      </c>
      <c r="G21" s="5">
        <v>6</v>
      </c>
      <c r="H21" s="5">
        <v>7</v>
      </c>
      <c r="I21" s="5">
        <v>8</v>
      </c>
      <c r="J21" s="5">
        <v>9</v>
      </c>
      <c r="K21" s="5">
        <v>10</v>
      </c>
      <c r="L21" s="5">
        <v>11</v>
      </c>
      <c r="M21" s="5">
        <v>12</v>
      </c>
    </row>
    <row r="22" spans="1:17" ht="37.5" x14ac:dyDescent="0.35">
      <c r="A22" s="5" t="s">
        <v>1</v>
      </c>
      <c r="B22" s="6" t="s">
        <v>65</v>
      </c>
      <c r="C22" s="6" t="s">
        <v>65</v>
      </c>
      <c r="D22" s="6" t="s">
        <v>65</v>
      </c>
      <c r="E22" s="7" t="s">
        <v>45</v>
      </c>
      <c r="F22" s="7" t="s">
        <v>45</v>
      </c>
      <c r="G22" s="7" t="s">
        <v>45</v>
      </c>
      <c r="H22" s="7" t="s">
        <v>52</v>
      </c>
      <c r="I22" s="7" t="s">
        <v>52</v>
      </c>
      <c r="J22" s="7" t="s">
        <v>52</v>
      </c>
      <c r="K22" s="7" t="s">
        <v>25</v>
      </c>
      <c r="L22" s="7" t="s">
        <v>25</v>
      </c>
      <c r="M22" s="7" t="s">
        <v>25</v>
      </c>
    </row>
    <row r="23" spans="1:17" ht="37.5" x14ac:dyDescent="0.35">
      <c r="A23" s="5" t="s">
        <v>2</v>
      </c>
      <c r="B23" s="6" t="s">
        <v>68</v>
      </c>
      <c r="C23" s="6" t="s">
        <v>68</v>
      </c>
      <c r="D23" s="6" t="s">
        <v>68</v>
      </c>
      <c r="E23" s="7" t="s">
        <v>44</v>
      </c>
      <c r="F23" s="7" t="s">
        <v>44</v>
      </c>
      <c r="G23" s="7" t="s">
        <v>44</v>
      </c>
      <c r="H23" s="7" t="s">
        <v>53</v>
      </c>
      <c r="I23" s="7" t="s">
        <v>53</v>
      </c>
      <c r="J23" s="7" t="s">
        <v>53</v>
      </c>
      <c r="K23" s="7" t="s">
        <v>25</v>
      </c>
      <c r="L23" s="7" t="s">
        <v>25</v>
      </c>
      <c r="M23" s="7" t="s">
        <v>25</v>
      </c>
    </row>
    <row r="24" spans="1:17" ht="37.5" x14ac:dyDescent="0.35">
      <c r="A24" s="5" t="s">
        <v>3</v>
      </c>
      <c r="B24" s="6" t="s">
        <v>70</v>
      </c>
      <c r="C24" s="6" t="s">
        <v>70</v>
      </c>
      <c r="D24" s="6" t="s">
        <v>70</v>
      </c>
      <c r="E24" s="7" t="s">
        <v>46</v>
      </c>
      <c r="F24" s="7" t="s">
        <v>46</v>
      </c>
      <c r="G24" s="7" t="s">
        <v>46</v>
      </c>
      <c r="H24" s="7" t="s">
        <v>54</v>
      </c>
      <c r="I24" s="7" t="s">
        <v>54</v>
      </c>
      <c r="J24" s="7" t="s">
        <v>54</v>
      </c>
      <c r="K24" s="7" t="s">
        <v>25</v>
      </c>
      <c r="L24" s="7" t="s">
        <v>25</v>
      </c>
      <c r="M24" s="7" t="s">
        <v>25</v>
      </c>
    </row>
    <row r="25" spans="1:17" ht="25" x14ac:dyDescent="0.35">
      <c r="A25" s="5" t="s">
        <v>4</v>
      </c>
      <c r="B25" s="7" t="s">
        <v>76</v>
      </c>
      <c r="C25" s="7" t="s">
        <v>76</v>
      </c>
      <c r="D25" s="7" t="s">
        <v>76</v>
      </c>
      <c r="E25" s="7" t="s">
        <v>47</v>
      </c>
      <c r="F25" s="7" t="s">
        <v>47</v>
      </c>
      <c r="G25" s="7" t="s">
        <v>47</v>
      </c>
      <c r="H25" s="7" t="s">
        <v>55</v>
      </c>
      <c r="I25" s="7" t="s">
        <v>55</v>
      </c>
      <c r="J25" s="7" t="s">
        <v>55</v>
      </c>
      <c r="K25" s="7" t="s">
        <v>25</v>
      </c>
      <c r="L25" s="7" t="s">
        <v>25</v>
      </c>
      <c r="M25" s="7" t="s">
        <v>25</v>
      </c>
    </row>
    <row r="26" spans="1:17" ht="37.5" x14ac:dyDescent="0.35">
      <c r="A26" s="5" t="s">
        <v>5</v>
      </c>
      <c r="B26" s="7" t="s">
        <v>77</v>
      </c>
      <c r="C26" s="7" t="s">
        <v>77</v>
      </c>
      <c r="D26" s="7" t="s">
        <v>77</v>
      </c>
      <c r="E26" s="7" t="s">
        <v>48</v>
      </c>
      <c r="F26" s="7" t="s">
        <v>48</v>
      </c>
      <c r="G26" s="7" t="s">
        <v>48</v>
      </c>
      <c r="H26" s="7" t="s">
        <v>56</v>
      </c>
      <c r="I26" s="7" t="s">
        <v>56</v>
      </c>
      <c r="J26" s="7" t="s">
        <v>56</v>
      </c>
      <c r="K26" s="7" t="s">
        <v>25</v>
      </c>
      <c r="L26" s="7" t="s">
        <v>25</v>
      </c>
      <c r="M26" s="7" t="s">
        <v>25</v>
      </c>
    </row>
    <row r="27" spans="1:17" ht="37.5" x14ac:dyDescent="0.35">
      <c r="A27" s="5" t="s">
        <v>6</v>
      </c>
      <c r="B27" s="7" t="s">
        <v>79</v>
      </c>
      <c r="C27" s="7" t="s">
        <v>79</v>
      </c>
      <c r="D27" s="7" t="s">
        <v>79</v>
      </c>
      <c r="E27" s="7" t="s">
        <v>49</v>
      </c>
      <c r="F27" s="7" t="s">
        <v>49</v>
      </c>
      <c r="G27" s="7" t="s">
        <v>49</v>
      </c>
      <c r="H27" s="7" t="s">
        <v>57</v>
      </c>
      <c r="I27" s="7" t="s">
        <v>57</v>
      </c>
      <c r="J27" s="7" t="s">
        <v>57</v>
      </c>
      <c r="K27" s="7" t="s">
        <v>25</v>
      </c>
      <c r="L27" s="7" t="s">
        <v>25</v>
      </c>
      <c r="M27" s="7" t="s">
        <v>25</v>
      </c>
    </row>
    <row r="28" spans="1:17" ht="37.5" x14ac:dyDescent="0.35">
      <c r="A28" s="5" t="s">
        <v>7</v>
      </c>
      <c r="B28" s="7" t="s">
        <v>82</v>
      </c>
      <c r="C28" s="7" t="s">
        <v>82</v>
      </c>
      <c r="D28" s="7" t="s">
        <v>82</v>
      </c>
      <c r="E28" s="7" t="s">
        <v>50</v>
      </c>
      <c r="F28" s="7" t="s">
        <v>50</v>
      </c>
      <c r="G28" s="7" t="s">
        <v>50</v>
      </c>
      <c r="H28" s="7" t="s">
        <v>58</v>
      </c>
      <c r="I28" s="7" t="s">
        <v>58</v>
      </c>
      <c r="J28" s="7" t="s">
        <v>58</v>
      </c>
      <c r="K28" s="7" t="s">
        <v>25</v>
      </c>
      <c r="L28" s="7" t="s">
        <v>25</v>
      </c>
      <c r="M28" s="7" t="s">
        <v>25</v>
      </c>
    </row>
    <row r="29" spans="1:17" ht="37.5" x14ac:dyDescent="0.35">
      <c r="A29" s="5" t="s">
        <v>8</v>
      </c>
      <c r="B29" s="7" t="s">
        <v>76</v>
      </c>
      <c r="C29" s="7" t="s">
        <v>76</v>
      </c>
      <c r="D29" s="7" t="s">
        <v>76</v>
      </c>
      <c r="E29" s="7" t="s">
        <v>51</v>
      </c>
      <c r="F29" s="7" t="s">
        <v>51</v>
      </c>
      <c r="G29" s="7" t="s">
        <v>51</v>
      </c>
      <c r="H29" s="7" t="s">
        <v>59</v>
      </c>
      <c r="I29" s="7" t="s">
        <v>59</v>
      </c>
      <c r="J29" s="7" t="s">
        <v>59</v>
      </c>
      <c r="K29" s="7" t="s">
        <v>25</v>
      </c>
      <c r="L29" s="7" t="s">
        <v>25</v>
      </c>
      <c r="M29" s="7" t="s">
        <v>25</v>
      </c>
    </row>
    <row r="31" spans="1:17" x14ac:dyDescent="0.35">
      <c r="A31" s="4" t="s">
        <v>11</v>
      </c>
      <c r="B31" s="5">
        <v>1</v>
      </c>
      <c r="C31" s="5">
        <v>2</v>
      </c>
      <c r="D31" s="5">
        <v>3</v>
      </c>
      <c r="E31" s="5">
        <v>4</v>
      </c>
      <c r="F31" s="5">
        <v>5</v>
      </c>
      <c r="G31" s="5">
        <v>6</v>
      </c>
      <c r="H31" s="5">
        <v>7</v>
      </c>
      <c r="I31" s="5">
        <v>8</v>
      </c>
      <c r="J31" s="5">
        <v>9</v>
      </c>
      <c r="K31" s="5">
        <v>10</v>
      </c>
      <c r="L31" s="5">
        <v>11</v>
      </c>
      <c r="M31" s="5">
        <v>12</v>
      </c>
    </row>
    <row r="32" spans="1:17" x14ac:dyDescent="0.35">
      <c r="A32" s="5" t="s">
        <v>1</v>
      </c>
      <c r="B32" s="7">
        <v>1</v>
      </c>
      <c r="C32" s="7">
        <v>1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</row>
    <row r="33" spans="1:13" x14ac:dyDescent="0.35">
      <c r="A33" s="5" t="s">
        <v>2</v>
      </c>
      <c r="B33" s="7">
        <v>1</v>
      </c>
      <c r="C33" s="7">
        <v>1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</row>
    <row r="34" spans="1:13" x14ac:dyDescent="0.35">
      <c r="A34" s="5" t="s">
        <v>3</v>
      </c>
      <c r="B34" s="7">
        <v>1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</row>
    <row r="35" spans="1:13" x14ac:dyDescent="0.35">
      <c r="A35" s="5" t="s">
        <v>4</v>
      </c>
      <c r="B35" s="7">
        <v>1</v>
      </c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</row>
    <row r="36" spans="1:13" x14ac:dyDescent="0.35">
      <c r="A36" s="5" t="s">
        <v>5</v>
      </c>
      <c r="B36" s="7">
        <v>1</v>
      </c>
      <c r="C36" s="7">
        <v>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</row>
    <row r="37" spans="1:13" x14ac:dyDescent="0.35">
      <c r="A37" s="5" t="s">
        <v>6</v>
      </c>
      <c r="B37" s="7">
        <v>1</v>
      </c>
      <c r="C37" s="7">
        <v>1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</row>
    <row r="38" spans="1:13" x14ac:dyDescent="0.35">
      <c r="A38" s="5" t="s">
        <v>7</v>
      </c>
      <c r="B38" s="7">
        <v>1</v>
      </c>
      <c r="C38" s="7">
        <v>1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</row>
    <row r="39" spans="1:13" x14ac:dyDescent="0.35">
      <c r="A39" s="5" t="s">
        <v>8</v>
      </c>
      <c r="B39" s="7">
        <v>1</v>
      </c>
      <c r="C39" s="7">
        <v>1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Lab Check</vt:lpstr>
      <vt:lpstr>Lab pasting</vt:lpstr>
      <vt:lpstr>STDs Template</vt:lpstr>
      <vt:lpstr>Plate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Stephanie</dc:creator>
  <cp:lastModifiedBy>Ashleigh Montgomery</cp:lastModifiedBy>
  <dcterms:created xsi:type="dcterms:W3CDTF">2023-06-01T13:58:09Z</dcterms:created>
  <dcterms:modified xsi:type="dcterms:W3CDTF">2025-01-13T14:42:37Z</dcterms:modified>
</cp:coreProperties>
</file>