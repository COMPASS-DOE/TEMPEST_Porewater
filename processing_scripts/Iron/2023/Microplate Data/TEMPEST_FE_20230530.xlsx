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montg_udel_edu/Documents/PhD/Data/TEMPEST/Porewater/"/>
    </mc:Choice>
  </mc:AlternateContent>
  <xr:revisionPtr revIDLastSave="36" documentId="13_ncr:1_{2F2D45EA-5A0C-4C07-BDB0-425ABF9BC8A7}" xr6:coauthVersionLast="47" xr6:coauthVersionMax="47" xr10:uidLastSave="{EA73B465-C582-4E5B-BB7F-34C433E2351F}"/>
  <bookViews>
    <workbookView xWindow="-110" yWindow="-110" windowWidth="19420" windowHeight="10300" activeTab="1" xr2:uid="{6967A191-00A4-401E-A3F0-393AE97A0AED}"/>
  </bookViews>
  <sheets>
    <sheet name="Sheet1" sheetId="5" r:id="rId1"/>
    <sheet name="Lab Check" sheetId="1" r:id="rId2"/>
    <sheet name="Plate Paste" sheetId="2" r:id="rId3"/>
    <sheet name="STD export" sheetId="3" r:id="rId4"/>
    <sheet name="Sample Expor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V2" i="4"/>
  <c r="U2" i="4"/>
  <c r="T2" i="4"/>
  <c r="B11" i="1"/>
  <c r="Q13" i="4"/>
  <c r="Q12" i="4"/>
  <c r="P13" i="4"/>
  <c r="P12" i="4"/>
  <c r="R6" i="4"/>
  <c r="Q7" i="4"/>
  <c r="Q6" i="4"/>
  <c r="P7" i="4"/>
  <c r="P6" i="4"/>
  <c r="R3" i="4"/>
  <c r="Q4" i="4"/>
  <c r="Q3" i="4"/>
  <c r="P4" i="4"/>
  <c r="P3" i="4"/>
  <c r="O26" i="1"/>
  <c r="Q35" i="1"/>
  <c r="P35" i="1"/>
  <c r="O28" i="1"/>
  <c r="B13" i="1"/>
  <c r="R35" i="1"/>
  <c r="O29" i="1"/>
  <c r="B30" i="1"/>
  <c r="B29" i="1"/>
  <c r="B28" i="1"/>
  <c r="B27" i="1"/>
  <c r="O25" i="1"/>
  <c r="B26" i="1"/>
  <c r="O24" i="1"/>
  <c r="B25" i="1"/>
  <c r="O23" i="1"/>
  <c r="B24" i="1"/>
  <c r="B23" i="1"/>
  <c r="O21" i="1"/>
  <c r="B22" i="1"/>
  <c r="O20" i="1"/>
  <c r="B21" i="1"/>
  <c r="O19" i="1"/>
  <c r="B20" i="1"/>
  <c r="O18" i="1"/>
  <c r="B19" i="1"/>
  <c r="O14" i="1"/>
  <c r="B15" i="1"/>
  <c r="O13" i="1"/>
  <c r="B14" i="1"/>
  <c r="O12" i="1"/>
  <c r="O11" i="1"/>
  <c r="B12" i="1"/>
  <c r="O10" i="1"/>
  <c r="B10" i="1"/>
  <c r="O9" i="1"/>
  <c r="B9" i="1"/>
  <c r="O8" i="1"/>
  <c r="B8" i="1"/>
  <c r="O7" i="1"/>
  <c r="B7" i="1"/>
  <c r="O6" i="1"/>
  <c r="B6" i="1"/>
  <c r="O5" i="1"/>
  <c r="B5" i="1"/>
  <c r="O4" i="1"/>
  <c r="B4" i="1"/>
  <c r="O3" i="1"/>
  <c r="B3" i="1"/>
</calcChain>
</file>

<file path=xl/sharedStrings.xml><?xml version="1.0" encoding="utf-8"?>
<sst xmlns="http://schemas.openxmlformats.org/spreadsheetml/2006/main" count="350" uniqueCount="83">
  <si>
    <t xml:space="preserve">First Run of the Plate (Fe2 read) </t>
  </si>
  <si>
    <t xml:space="preserve">Second Run of the Plate (Fe Total read) </t>
  </si>
  <si>
    <t>FeII Stds</t>
  </si>
  <si>
    <t>Avg Abs</t>
  </si>
  <si>
    <t>Abs1</t>
  </si>
  <si>
    <t>Abs2</t>
  </si>
  <si>
    <t>As3</t>
  </si>
  <si>
    <t>FeIII Stds</t>
  </si>
  <si>
    <t>Red. Eff</t>
  </si>
  <si>
    <t>60 uM fe(III)</t>
  </si>
  <si>
    <t xml:space="preserve">&gt;85% </t>
  </si>
  <si>
    <t>E1</t>
  </si>
  <si>
    <t>E2</t>
  </si>
  <si>
    <t>E3</t>
  </si>
  <si>
    <t xml:space="preserve">STDS1 : Read 1 </t>
  </si>
  <si>
    <t>A</t>
  </si>
  <si>
    <t>B</t>
  </si>
  <si>
    <t>C</t>
  </si>
  <si>
    <t>D</t>
  </si>
  <si>
    <t>E</t>
  </si>
  <si>
    <t>F</t>
  </si>
  <si>
    <t>G</t>
  </si>
  <si>
    <t>H</t>
  </si>
  <si>
    <t xml:space="preserve">STDS2: Read 2 </t>
  </si>
  <si>
    <t xml:space="preserve">Samples 1: Read 1 </t>
  </si>
  <si>
    <t xml:space="preserve">Samples 1: Read 2 </t>
  </si>
  <si>
    <t>IDs</t>
  </si>
  <si>
    <t>Fe_2 60uM</t>
  </si>
  <si>
    <t>Fe_2 100 uM</t>
  </si>
  <si>
    <t>Fe_3 60 uM</t>
  </si>
  <si>
    <t>Fe_3 100 uM</t>
  </si>
  <si>
    <t>Fe_2 45 uM</t>
  </si>
  <si>
    <t>Fe_2 250 uM</t>
  </si>
  <si>
    <t>Fe_3 45 uM</t>
  </si>
  <si>
    <t>Fe_3 250 uM</t>
  </si>
  <si>
    <t>Fe_2 30 uM</t>
  </si>
  <si>
    <t>Fe_2 500 uM</t>
  </si>
  <si>
    <t>Fe_3 30 uM</t>
  </si>
  <si>
    <t>Fe_3 500 uM</t>
  </si>
  <si>
    <t>Fe_2 18 uM</t>
  </si>
  <si>
    <t>Fe_3 18 uM</t>
  </si>
  <si>
    <t>Fe_2 9 uM</t>
  </si>
  <si>
    <t>Fe_3 9 uM</t>
  </si>
  <si>
    <t>Fe_2 6 uM</t>
  </si>
  <si>
    <t>Fe_3 6 uM</t>
  </si>
  <si>
    <t>Fe_2 3 uM</t>
  </si>
  <si>
    <t>Fe_3 3 uM</t>
  </si>
  <si>
    <t>Fe_2 0.6 uM</t>
  </si>
  <si>
    <t>Blank</t>
  </si>
  <si>
    <t>Fe_3 0.6 uM</t>
  </si>
  <si>
    <t>Dilutions</t>
  </si>
  <si>
    <t>Conc_uM</t>
  </si>
  <si>
    <t>NA</t>
  </si>
  <si>
    <t>stds</t>
  </si>
  <si>
    <t>FW_B4_20230515</t>
  </si>
  <si>
    <t>FW_I5_20230515</t>
  </si>
  <si>
    <t>FW_C3_20230515</t>
  </si>
  <si>
    <t>SW_B4_20230515</t>
  </si>
  <si>
    <t>FW_C6_20230515</t>
  </si>
  <si>
    <t>SW_C3_20230515</t>
  </si>
  <si>
    <t>FW_D5_20230515</t>
  </si>
  <si>
    <t>SW_C3_20230515_dup</t>
  </si>
  <si>
    <t>C_C6_20230515</t>
  </si>
  <si>
    <t>FW_E3_20230515</t>
  </si>
  <si>
    <t>SW_F6_20230515</t>
  </si>
  <si>
    <t>C_F6_20230515</t>
  </si>
  <si>
    <t>FW_F6_20230515</t>
  </si>
  <si>
    <t>SW_F6_20230515_spk</t>
  </si>
  <si>
    <t>C_H6_20230515</t>
  </si>
  <si>
    <t>FW_H3_20230515</t>
  </si>
  <si>
    <t>SW_H6_20230515</t>
  </si>
  <si>
    <t>C_I5_20230515</t>
  </si>
  <si>
    <t>FW_H6_20230515</t>
  </si>
  <si>
    <t xml:space="preserve">QA/QC </t>
  </si>
  <si>
    <t>dups</t>
  </si>
  <si>
    <t>conc</t>
  </si>
  <si>
    <t>Fe 2</t>
  </si>
  <si>
    <t>Fe 3</t>
  </si>
  <si>
    <t>spk</t>
  </si>
  <si>
    <t>Min</t>
  </si>
  <si>
    <t>Max</t>
  </si>
  <si>
    <t>Average</t>
  </si>
  <si>
    <t>Samples from 20230515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</si>
</sst>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0" fontId="1" fillId="0" borderId="0" xfId="0" applyFont="1"/>
    <xf numFmtId="0" fontId="2" fillId="5" borderId="0" xfId="0" applyFont="1" applyFill="1" applyAlignment="1">
      <alignment horizontal="center" vertical="center" wrapText="1"/>
    </xf>
    <xf numFmtId="0" fontId="0" fillId="5" borderId="0" xfId="0" applyFill="1"/>
    <xf numFmtId="2" fontId="0" fillId="6" borderId="0" xfId="0" applyNumberFormat="1" applyFill="1"/>
    <xf numFmtId="0" fontId="0" fillId="7" borderId="1" xfId="0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8" borderId="1" xfId="0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309924097325745E-2"/>
                  <c:y val="0.34063973510170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Check'!$N$3:$N$11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Check'!$O$3:$O$11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8-40D3-BA69-E7D8C51E8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04000"/>
        <c:axId val="573104328"/>
      </c:scatterChart>
      <c:valAx>
        <c:axId val="5731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4328"/>
        <c:crosses val="autoZero"/>
        <c:crossBetween val="midCat"/>
      </c:valAx>
      <c:valAx>
        <c:axId val="57310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Check'!$O$17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164260717410324E-2"/>
                  <c:y val="0.389751020705745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Check'!$N$18:$N$25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'Lab Check'!$O$18:$O$25</c:f>
              <c:numCache>
                <c:formatCode>General</c:formatCode>
                <c:ptCount val="8"/>
                <c:pt idx="0">
                  <c:v>0.17600000000000002</c:v>
                </c:pt>
                <c:pt idx="1">
                  <c:v>0.13966666666666669</c:v>
                </c:pt>
                <c:pt idx="2">
                  <c:v>0.10799999999999998</c:v>
                </c:pt>
                <c:pt idx="3">
                  <c:v>8.3666666666666667E-2</c:v>
                </c:pt>
                <c:pt idx="5">
                  <c:v>5.4333333333333338E-2</c:v>
                </c:pt>
                <c:pt idx="6">
                  <c:v>4.6333333333333337E-2</c:v>
                </c:pt>
                <c:pt idx="7">
                  <c:v>4.1333333333333333E-2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1-4B40-A320-344AB043D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01376"/>
        <c:axId val="573101704"/>
      </c:scatterChart>
      <c:valAx>
        <c:axId val="5731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1704"/>
        <c:crosses val="autoZero"/>
        <c:crossBetween val="midCat"/>
      </c:valAx>
      <c:valAx>
        <c:axId val="57310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0-60 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21072171678023"/>
                  <c:y val="0.40201249013409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0</c:v>
                </c:pt>
              </c:numCache>
            </c:numRef>
          </c:xVal>
          <c:yVal>
            <c:numRef>
              <c:f>'Lab Check'!$B$3:$B$11</c:f>
              <c:numCache>
                <c:formatCode>General</c:formatCode>
                <c:ptCount val="9"/>
                <c:pt idx="0">
                  <c:v>0.15666666666666668</c:v>
                </c:pt>
                <c:pt idx="1">
                  <c:v>0.12033333333333333</c:v>
                </c:pt>
                <c:pt idx="2">
                  <c:v>9.2000000000000012E-2</c:v>
                </c:pt>
                <c:pt idx="3">
                  <c:v>7.2333333333333347E-2</c:v>
                </c:pt>
                <c:pt idx="4">
                  <c:v>5.0999999999999997E-2</c:v>
                </c:pt>
                <c:pt idx="5">
                  <c:v>4.9000000000000009E-2</c:v>
                </c:pt>
                <c:pt idx="6">
                  <c:v>4.2333333333333334E-2</c:v>
                </c:pt>
                <c:pt idx="7">
                  <c:v>3.7666666666666661E-2</c:v>
                </c:pt>
                <c:pt idx="8">
                  <c:v>3.7666666666666661E-2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0C-4070-A03D-9366C7B81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72224"/>
        <c:axId val="524770912"/>
      </c:scatterChart>
      <c:valAx>
        <c:axId val="52477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0912"/>
        <c:crosses val="autoZero"/>
        <c:crossBetween val="midCat"/>
      </c:valAx>
      <c:valAx>
        <c:axId val="5247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0-100</a:t>
            </a:r>
            <a:r>
              <a:rPr lang="en-US" baseline="0"/>
              <a:t> 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21072171678023"/>
                  <c:y val="0.40201249013409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Check'!$A$3:$A$12</c:f>
              <c:numCache>
                <c:formatCode>General</c:formatCode>
                <c:ptCount val="10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0</c:v>
                </c:pt>
                <c:pt idx="9">
                  <c:v>100</c:v>
                </c:pt>
              </c:numCache>
            </c:numRef>
          </c:xVal>
          <c:yVal>
            <c:numRef>
              <c:f>'Lab Check'!$B$3:$B$12</c:f>
              <c:numCache>
                <c:formatCode>General</c:formatCode>
                <c:ptCount val="10"/>
                <c:pt idx="0">
                  <c:v>0.15666666666666668</c:v>
                </c:pt>
                <c:pt idx="1">
                  <c:v>0.12033333333333333</c:v>
                </c:pt>
                <c:pt idx="2">
                  <c:v>9.2000000000000012E-2</c:v>
                </c:pt>
                <c:pt idx="3">
                  <c:v>7.2333333333333347E-2</c:v>
                </c:pt>
                <c:pt idx="4">
                  <c:v>5.0999999999999997E-2</c:v>
                </c:pt>
                <c:pt idx="5">
                  <c:v>4.9000000000000009E-2</c:v>
                </c:pt>
                <c:pt idx="6">
                  <c:v>4.2333333333333334E-2</c:v>
                </c:pt>
                <c:pt idx="7">
                  <c:v>3.7666666666666661E-2</c:v>
                </c:pt>
                <c:pt idx="8">
                  <c:v>3.7666666666666661E-2</c:v>
                </c:pt>
                <c:pt idx="9">
                  <c:v>0.23566666666666666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99-4FCF-8D2C-275590FB2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72224"/>
        <c:axId val="524770912"/>
      </c:scatterChart>
      <c:valAx>
        <c:axId val="52477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0912"/>
        <c:crosses val="autoZero"/>
        <c:crossBetween val="midCat"/>
      </c:valAx>
      <c:valAx>
        <c:axId val="5247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0-100</a:t>
            </a:r>
            <a:r>
              <a:rPr lang="en-US" baseline="0"/>
              <a:t> 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21072171678023"/>
                  <c:y val="0.40201249013409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Check'!$A$11:$A$14</c:f>
              <c:numCache>
                <c:formatCode>General</c:formatCode>
                <c:ptCount val="4"/>
                <c:pt idx="0">
                  <c:v>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</c:numCache>
            </c:numRef>
          </c:xVal>
          <c:yVal>
            <c:numRef>
              <c:f>'Lab Check'!$B$11:$B$14</c:f>
              <c:numCache>
                <c:formatCode>General</c:formatCode>
                <c:ptCount val="4"/>
                <c:pt idx="0">
                  <c:v>3.7666666666666661E-2</c:v>
                </c:pt>
                <c:pt idx="1">
                  <c:v>0.23566666666666666</c:v>
                </c:pt>
                <c:pt idx="2">
                  <c:v>0.45200000000000001</c:v>
                </c:pt>
                <c:pt idx="3">
                  <c:v>0.754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75-4F2E-B97D-35A3D013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72224"/>
        <c:axId val="524770912"/>
      </c:scatterChart>
      <c:valAx>
        <c:axId val="52477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0912"/>
        <c:crosses val="autoZero"/>
        <c:crossBetween val="midCat"/>
      </c:valAx>
      <c:valAx>
        <c:axId val="5247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Check'!$O$17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164260717410324E-2"/>
                  <c:y val="0.389751020705745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Check'!$N$26:$N$29</c:f>
              <c:numCache>
                <c:formatCode>General</c:formatCode>
                <c:ptCount val="4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0</c:v>
                </c:pt>
              </c:numCache>
            </c:numRef>
          </c:xVal>
          <c:yVal>
            <c:numRef>
              <c:f>'Lab Check'!$O$26:$O$29</c:f>
              <c:numCache>
                <c:formatCode>General</c:formatCode>
                <c:ptCount val="4"/>
                <c:pt idx="0">
                  <c:v>0.23266666666666666</c:v>
                </c:pt>
                <c:pt idx="1">
                  <c:v>0.316</c:v>
                </c:pt>
                <c:pt idx="2">
                  <c:v>0.3725</c:v>
                </c:pt>
                <c:pt idx="3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F-4FC2-BC46-4890DE9A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01376"/>
        <c:axId val="573101704"/>
      </c:scatterChart>
      <c:valAx>
        <c:axId val="5731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1704"/>
        <c:crosses val="autoZero"/>
        <c:crossBetween val="midCat"/>
      </c:valAx>
      <c:valAx>
        <c:axId val="57310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514531636548042"/>
                  <c:y val="0.320529042565331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0</c:v>
                </c:pt>
              </c:numCache>
            </c:numRef>
          </c:xVal>
          <c:yVal>
            <c:numRef>
              <c:f>'Lab Check'!$C$3:$C$11</c:f>
              <c:numCache>
                <c:formatCode>General</c:formatCode>
                <c:ptCount val="9"/>
                <c:pt idx="0">
                  <c:v>0.14799999999999999</c:v>
                </c:pt>
                <c:pt idx="1">
                  <c:v>0.121</c:v>
                </c:pt>
                <c:pt idx="2">
                  <c:v>9.9000000000000005E-2</c:v>
                </c:pt>
                <c:pt idx="3">
                  <c:v>6.5000000000000002E-2</c:v>
                </c:pt>
                <c:pt idx="4">
                  <c:v>5.1999999999999998E-2</c:v>
                </c:pt>
                <c:pt idx="5">
                  <c:v>0.05</c:v>
                </c:pt>
                <c:pt idx="6">
                  <c:v>4.2000000000000003E-2</c:v>
                </c:pt>
                <c:pt idx="7">
                  <c:v>3.7999999999999999E-2</c:v>
                </c:pt>
                <c:pt idx="8">
                  <c:v>3.6999999999999998E-2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E-4E8B-AD2F-B950B72E9D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057612576495824"/>
                  <c:y val="0.283536231884057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0</c:v>
                </c:pt>
              </c:numCache>
            </c:numRef>
          </c:xVal>
          <c:yVal>
            <c:numRef>
              <c:f>'Lab Check'!$D$3:$D$11</c:f>
              <c:numCache>
                <c:formatCode>General</c:formatCode>
                <c:ptCount val="9"/>
                <c:pt idx="0">
                  <c:v>0.13700000000000001</c:v>
                </c:pt>
                <c:pt idx="1">
                  <c:v>0.11799999999999999</c:v>
                </c:pt>
                <c:pt idx="2">
                  <c:v>8.7999999999999995E-2</c:v>
                </c:pt>
                <c:pt idx="3">
                  <c:v>7.3999999999999996E-2</c:v>
                </c:pt>
                <c:pt idx="4">
                  <c:v>5.0999999999999997E-2</c:v>
                </c:pt>
                <c:pt idx="5">
                  <c:v>4.9000000000000002E-2</c:v>
                </c:pt>
                <c:pt idx="6">
                  <c:v>4.2999999999999997E-2</c:v>
                </c:pt>
                <c:pt idx="7">
                  <c:v>3.7999999999999999E-2</c:v>
                </c:pt>
                <c:pt idx="8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AE-4E8B-AD2F-B950B72E9D8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709483768836989"/>
                  <c:y val="0.17408832591578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0</c:v>
                </c:pt>
              </c:numCache>
            </c:numRef>
          </c:xVal>
          <c:yVal>
            <c:numRef>
              <c:f>'Lab Check'!$E$3:$E$11</c:f>
              <c:numCache>
                <c:formatCode>General</c:formatCode>
                <c:ptCount val="9"/>
                <c:pt idx="0">
                  <c:v>0.185</c:v>
                </c:pt>
                <c:pt idx="1">
                  <c:v>0.122</c:v>
                </c:pt>
                <c:pt idx="2">
                  <c:v>8.8999999999999996E-2</c:v>
                </c:pt>
                <c:pt idx="3">
                  <c:v>7.8E-2</c:v>
                </c:pt>
                <c:pt idx="4">
                  <c:v>0.05</c:v>
                </c:pt>
                <c:pt idx="5">
                  <c:v>4.8000000000000001E-2</c:v>
                </c:pt>
                <c:pt idx="6">
                  <c:v>4.2000000000000003E-2</c:v>
                </c:pt>
                <c:pt idx="7">
                  <c:v>3.6999999999999998E-2</c:v>
                </c:pt>
                <c:pt idx="8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AE-4E8B-AD2F-B950B72E9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138527"/>
        <c:axId val="1689183391"/>
      </c:scatterChart>
      <c:valAx>
        <c:axId val="164213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83391"/>
        <c:crosses val="autoZero"/>
        <c:crossBetween val="midCat"/>
      </c:valAx>
      <c:valAx>
        <c:axId val="168918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13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Check'!$A$12:$A$15</c:f>
              <c:numCache>
                <c:formatCode>General</c:formatCode>
                <c:ptCount val="4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0</c:v>
                </c:pt>
              </c:numCache>
            </c:numRef>
          </c:xVal>
          <c:yVal>
            <c:numRef>
              <c:f>'Lab Check'!$B$12:$B$15</c:f>
              <c:numCache>
                <c:formatCode>General</c:formatCode>
                <c:ptCount val="4"/>
                <c:pt idx="0">
                  <c:v>0.23566666666666666</c:v>
                </c:pt>
                <c:pt idx="1">
                  <c:v>0.45200000000000001</c:v>
                </c:pt>
                <c:pt idx="2">
                  <c:v>0.754</c:v>
                </c:pt>
                <c:pt idx="3">
                  <c:v>3.6999999999999998E-2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7-4649-816B-87F2FC7FC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849487"/>
        <c:axId val="1639101327"/>
      </c:scatterChart>
      <c:valAx>
        <c:axId val="171084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01327"/>
        <c:crosses val="autoZero"/>
        <c:crossBetween val="midCat"/>
      </c:valAx>
      <c:valAx>
        <c:axId val="16391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4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323850</xdr:colOff>
      <xdr:row>2</xdr:row>
      <xdr:rowOff>9525</xdr:rowOff>
    </xdr:from>
    <xdr:to>
      <xdr:col>24</xdr:col>
      <xdr:colOff>190500</xdr:colOff>
      <xdr:row>13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D94D48-BA70-A8A0-5784-39E782234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114300</xdr:colOff>
      <xdr:row>14</xdr:row>
      <xdr:rowOff>90487</xdr:rowOff>
    </xdr:from>
    <xdr:to>
      <xdr:col>26</xdr:col>
      <xdr:colOff>419100</xdr:colOff>
      <xdr:row>28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B498B4-3DBD-B12B-2D16-82738C3C8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279400</xdr:colOff>
      <xdr:row>15</xdr:row>
      <xdr:rowOff>139700</xdr:rowOff>
    </xdr:from>
    <xdr:to>
      <xdr:col>11</xdr:col>
      <xdr:colOff>28575</xdr:colOff>
      <xdr:row>27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3FF68-78D2-4B14-B360-FCA1F906A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234950</xdr:colOff>
      <xdr:row>28</xdr:row>
      <xdr:rowOff>177800</xdr:rowOff>
    </xdr:from>
    <xdr:to>
      <xdr:col>10</xdr:col>
      <xdr:colOff>593725</xdr:colOff>
      <xdr:row>42</xdr:row>
      <xdr:rowOff>55563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F1D3F-3525-40EF-83B8-78EDA1418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234950</xdr:colOff>
      <xdr:row>43</xdr:row>
      <xdr:rowOff>88900</xdr:rowOff>
    </xdr:from>
    <xdr:to>
      <xdr:col>10</xdr:col>
      <xdr:colOff>593725</xdr:colOff>
      <xdr:row>56</xdr:row>
      <xdr:rowOff>150813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4DA05C-5533-4813-8837-15F3094FD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101600</xdr:colOff>
      <xdr:row>30</xdr:row>
      <xdr:rowOff>63500</xdr:rowOff>
    </xdr:from>
    <xdr:to>
      <xdr:col>26</xdr:col>
      <xdr:colOff>406400</xdr:colOff>
      <xdr:row>44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72F8F9-6ABB-4721-9E55-2D21BBAB3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136525</xdr:colOff>
      <xdr:row>1</xdr:row>
      <xdr:rowOff>146050</xdr:rowOff>
    </xdr:from>
    <xdr:to>
      <xdr:col>11</xdr:col>
      <xdr:colOff>127000</xdr:colOff>
      <xdr:row>13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C2B788-0EAE-B557-2833-BA5B719F2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104775</xdr:colOff>
      <xdr:row>30</xdr:row>
      <xdr:rowOff>88900</xdr:rowOff>
    </xdr:from>
    <xdr:to>
      <xdr:col>5</xdr:col>
      <xdr:colOff>127000</xdr:colOff>
      <xdr:row>41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F2D268-F999-DCD8-E8E5-1930E36AD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30D0-7875-418A-B380-7D11837F4439}">
  <dimension ref="A1"/>
  <sheetViews>
    <sheetView workbookViewId="0">
      <selection activeCell="E9" sqref="E9"/>
    </sheetView>
  </sheetViews>
  <sheetFormatPr defaultRowHeight="14.5" x14ac:dyDescent="0.35"/>
  <sheetData>
    <row r="1" spans="1:1" x14ac:dyDescent="0.35">
      <c r="A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F016-EC7A-4C83-93FF-781250A8CA88}">
  <dimension ref="A1:Y35"/>
  <sheetViews>
    <sheetView tabSelected="1" topLeftCell="E25" workbookViewId="0">
      <selection activeCell="R43" sqref="R43"/>
    </sheetView>
  </sheetViews>
  <sheetFormatPr defaultRowHeight="14.5" x14ac:dyDescent="0.35"/>
  <cols>
    <col min="13" max="13" width="5.7265625" style="1" customWidth="1"/>
  </cols>
  <sheetData>
    <row r="1" spans="1:25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25" t="s">
        <v>1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</row>
    <row r="3" spans="1:25" x14ac:dyDescent="0.35">
      <c r="A3">
        <v>60</v>
      </c>
      <c r="B3">
        <f>AVERAGE(C3:E3)</f>
        <v>0.15666666666666668</v>
      </c>
      <c r="C3" s="8">
        <v>0.14799999999999999</v>
      </c>
      <c r="D3" s="8">
        <v>0.13700000000000001</v>
      </c>
      <c r="E3" s="8">
        <v>0.185</v>
      </c>
      <c r="N3">
        <v>60</v>
      </c>
      <c r="O3" t="e">
        <f>AVERAGE(P3:R3)</f>
        <v>#DIV/0!</v>
      </c>
    </row>
    <row r="4" spans="1:25" x14ac:dyDescent="0.35">
      <c r="A4">
        <v>45</v>
      </c>
      <c r="B4">
        <f t="shared" ref="B4:B15" si="0">AVERAGE(C4:E4)</f>
        <v>0.12033333333333333</v>
      </c>
      <c r="C4" s="8">
        <v>0.121</v>
      </c>
      <c r="D4" s="8">
        <v>0.11799999999999999</v>
      </c>
      <c r="E4" s="8">
        <v>0.122</v>
      </c>
      <c r="N4">
        <v>45</v>
      </c>
      <c r="O4" t="e">
        <f t="shared" ref="O4:O14" si="1">AVERAGE(P4:R4)</f>
        <v>#DIV/0!</v>
      </c>
    </row>
    <row r="5" spans="1:25" x14ac:dyDescent="0.35">
      <c r="A5">
        <v>30</v>
      </c>
      <c r="B5">
        <f t="shared" si="0"/>
        <v>9.2000000000000012E-2</v>
      </c>
      <c r="C5" s="8">
        <v>9.9000000000000005E-2</v>
      </c>
      <c r="D5" s="8">
        <v>8.7999999999999995E-2</v>
      </c>
      <c r="E5" s="8">
        <v>8.8999999999999996E-2</v>
      </c>
      <c r="N5">
        <v>30</v>
      </c>
      <c r="O5" t="e">
        <f t="shared" si="1"/>
        <v>#DIV/0!</v>
      </c>
    </row>
    <row r="6" spans="1:25" x14ac:dyDescent="0.35">
      <c r="A6">
        <v>18</v>
      </c>
      <c r="B6">
        <f t="shared" si="0"/>
        <v>7.2333333333333347E-2</v>
      </c>
      <c r="C6" s="8">
        <v>6.5000000000000002E-2</v>
      </c>
      <c r="D6" s="8">
        <v>7.3999999999999996E-2</v>
      </c>
      <c r="E6" s="8">
        <v>7.8E-2</v>
      </c>
      <c r="N6">
        <v>18</v>
      </c>
      <c r="O6" t="e">
        <f t="shared" si="1"/>
        <v>#DIV/0!</v>
      </c>
    </row>
    <row r="7" spans="1:25" x14ac:dyDescent="0.35">
      <c r="A7">
        <v>9</v>
      </c>
      <c r="B7">
        <f t="shared" si="0"/>
        <v>5.0999999999999997E-2</v>
      </c>
      <c r="C7" s="8">
        <v>5.1999999999999998E-2</v>
      </c>
      <c r="D7" s="8">
        <v>5.0999999999999997E-2</v>
      </c>
      <c r="E7" s="8">
        <v>0.05</v>
      </c>
      <c r="N7">
        <v>9</v>
      </c>
      <c r="O7" t="e">
        <f t="shared" si="1"/>
        <v>#DIV/0!</v>
      </c>
    </row>
    <row r="8" spans="1:25" x14ac:dyDescent="0.35">
      <c r="A8">
        <v>6</v>
      </c>
      <c r="B8">
        <f t="shared" si="0"/>
        <v>4.9000000000000009E-2</v>
      </c>
      <c r="C8" s="8">
        <v>0.05</v>
      </c>
      <c r="D8" s="8">
        <v>4.9000000000000002E-2</v>
      </c>
      <c r="E8" s="8">
        <v>4.8000000000000001E-2</v>
      </c>
      <c r="N8">
        <v>6</v>
      </c>
      <c r="O8" t="e">
        <f t="shared" si="1"/>
        <v>#DIV/0!</v>
      </c>
    </row>
    <row r="9" spans="1:25" x14ac:dyDescent="0.35">
      <c r="A9">
        <v>3</v>
      </c>
      <c r="B9">
        <f t="shared" si="0"/>
        <v>4.2333333333333334E-2</v>
      </c>
      <c r="C9" s="8">
        <v>4.2000000000000003E-2</v>
      </c>
      <c r="D9" s="8">
        <v>4.2999999999999997E-2</v>
      </c>
      <c r="E9" s="8">
        <v>4.2000000000000003E-2</v>
      </c>
      <c r="N9">
        <v>3</v>
      </c>
      <c r="O9" t="e">
        <f t="shared" si="1"/>
        <v>#DIV/0!</v>
      </c>
    </row>
    <row r="10" spans="1:25" x14ac:dyDescent="0.35">
      <c r="A10">
        <v>0.6</v>
      </c>
      <c r="B10">
        <f t="shared" si="0"/>
        <v>3.7666666666666661E-2</v>
      </c>
      <c r="C10" s="8">
        <v>3.7999999999999999E-2</v>
      </c>
      <c r="D10" s="8">
        <v>3.7999999999999999E-2</v>
      </c>
      <c r="E10" s="8">
        <v>3.6999999999999998E-2</v>
      </c>
      <c r="N10">
        <v>0.6</v>
      </c>
      <c r="O10" t="e">
        <f t="shared" si="1"/>
        <v>#DIV/0!</v>
      </c>
    </row>
    <row r="11" spans="1:25" x14ac:dyDescent="0.35">
      <c r="A11">
        <v>0</v>
      </c>
      <c r="B11">
        <f t="shared" ref="B11" si="2">AVERAGE(C11:E11)</f>
        <v>3.7666666666666661E-2</v>
      </c>
      <c r="C11">
        <v>3.6999999999999998E-2</v>
      </c>
      <c r="D11">
        <v>3.7999999999999999E-2</v>
      </c>
      <c r="E11">
        <v>3.7999999999999999E-2</v>
      </c>
      <c r="N11">
        <v>100</v>
      </c>
      <c r="O11" t="e">
        <f t="shared" si="1"/>
        <v>#DIV/0!</v>
      </c>
    </row>
    <row r="12" spans="1:25" x14ac:dyDescent="0.35">
      <c r="A12">
        <v>100</v>
      </c>
      <c r="B12">
        <f t="shared" si="0"/>
        <v>0.23566666666666666</v>
      </c>
      <c r="C12">
        <v>0.24099999999999999</v>
      </c>
      <c r="D12">
        <v>0.23</v>
      </c>
      <c r="E12">
        <v>0.23599999999999999</v>
      </c>
      <c r="N12">
        <v>250</v>
      </c>
      <c r="O12" t="e">
        <f>AVERAGE(P12:R12)</f>
        <v>#DIV/0!</v>
      </c>
    </row>
    <row r="13" spans="1:25" x14ac:dyDescent="0.35">
      <c r="A13">
        <v>250</v>
      </c>
      <c r="B13">
        <f>AVERAGE(C13:E13)</f>
        <v>0.45200000000000001</v>
      </c>
      <c r="C13">
        <v>0.45</v>
      </c>
      <c r="D13" t="s">
        <v>52</v>
      </c>
      <c r="E13">
        <v>0.45400000000000001</v>
      </c>
      <c r="N13">
        <v>500</v>
      </c>
      <c r="O13" t="e">
        <f t="shared" si="1"/>
        <v>#DIV/0!</v>
      </c>
    </row>
    <row r="14" spans="1:25" x14ac:dyDescent="0.35">
      <c r="A14">
        <v>500</v>
      </c>
      <c r="B14">
        <f t="shared" si="0"/>
        <v>0.754</v>
      </c>
      <c r="C14">
        <v>0.71299999999999997</v>
      </c>
      <c r="D14">
        <v>0.77500000000000002</v>
      </c>
      <c r="E14">
        <v>0.77400000000000002</v>
      </c>
      <c r="N14">
        <v>0</v>
      </c>
      <c r="O14" t="e">
        <f t="shared" si="1"/>
        <v>#DIV/0!</v>
      </c>
    </row>
    <row r="15" spans="1:25" x14ac:dyDescent="0.35">
      <c r="A15">
        <v>0</v>
      </c>
      <c r="B15">
        <f t="shared" si="0"/>
        <v>3.6999999999999998E-2</v>
      </c>
      <c r="C15" s="8">
        <v>3.6999999999999998E-2</v>
      </c>
      <c r="D15" s="8">
        <v>3.6999999999999998E-2</v>
      </c>
      <c r="E15" s="8">
        <v>3.6999999999999998E-2</v>
      </c>
    </row>
    <row r="17" spans="1:18" x14ac:dyDescent="0.35">
      <c r="N17" s="2" t="s">
        <v>7</v>
      </c>
      <c r="O17" s="2" t="s">
        <v>3</v>
      </c>
      <c r="P17" s="2" t="s">
        <v>4</v>
      </c>
      <c r="Q17" s="2" t="s">
        <v>5</v>
      </c>
      <c r="R17" s="2" t="s">
        <v>6</v>
      </c>
    </row>
    <row r="18" spans="1:18" x14ac:dyDescent="0.35">
      <c r="A18" s="2" t="s">
        <v>7</v>
      </c>
      <c r="B18" s="2" t="s">
        <v>3</v>
      </c>
      <c r="C18" s="2" t="s">
        <v>4</v>
      </c>
      <c r="D18" s="2" t="s">
        <v>5</v>
      </c>
      <c r="E18" s="2" t="s">
        <v>6</v>
      </c>
      <c r="N18">
        <v>60</v>
      </c>
      <c r="O18">
        <f>AVERAGE(P18:R18)</f>
        <v>0.17600000000000002</v>
      </c>
      <c r="P18" s="8">
        <v>0.16400000000000001</v>
      </c>
      <c r="Q18" s="8">
        <v>0.19</v>
      </c>
      <c r="R18" s="8">
        <v>0.17399999999999999</v>
      </c>
    </row>
    <row r="19" spans="1:18" x14ac:dyDescent="0.35">
      <c r="A19">
        <v>60</v>
      </c>
      <c r="B19">
        <f>AVERAGE(C19:E19)</f>
        <v>0.04</v>
      </c>
      <c r="C19" s="8">
        <v>3.9E-2</v>
      </c>
      <c r="D19" s="8">
        <v>4.1000000000000002E-2</v>
      </c>
      <c r="E19" s="8">
        <v>0.04</v>
      </c>
      <c r="N19">
        <v>45</v>
      </c>
      <c r="O19">
        <f t="shared" ref="O19:O29" si="3">AVERAGE(P19:R19)</f>
        <v>0.13966666666666669</v>
      </c>
      <c r="P19" s="8">
        <v>0.113</v>
      </c>
      <c r="Q19" s="8">
        <v>0.17</v>
      </c>
      <c r="R19" s="8">
        <v>0.13600000000000001</v>
      </c>
    </row>
    <row r="20" spans="1:18" x14ac:dyDescent="0.35">
      <c r="A20">
        <v>45</v>
      </c>
      <c r="B20">
        <f t="shared" ref="B20:B30" si="4">AVERAGE(C20:E20)</f>
        <v>3.9E-2</v>
      </c>
      <c r="C20" s="8">
        <v>0.04</v>
      </c>
      <c r="D20" s="8">
        <v>3.9E-2</v>
      </c>
      <c r="E20" s="8">
        <v>3.7999999999999999E-2</v>
      </c>
      <c r="N20">
        <v>30</v>
      </c>
      <c r="O20">
        <f t="shared" si="3"/>
        <v>0.10799999999999998</v>
      </c>
      <c r="P20" s="8">
        <v>0.11899999999999999</v>
      </c>
      <c r="Q20" s="8">
        <v>0.10199999999999999</v>
      </c>
      <c r="R20" s="8">
        <v>0.10299999999999999</v>
      </c>
    </row>
    <row r="21" spans="1:18" x14ac:dyDescent="0.35">
      <c r="A21">
        <v>30</v>
      </c>
      <c r="B21">
        <f t="shared" si="4"/>
        <v>3.8666666666666662E-2</v>
      </c>
      <c r="C21" s="8">
        <v>3.7999999999999999E-2</v>
      </c>
      <c r="D21" s="8">
        <v>3.9E-2</v>
      </c>
      <c r="E21" s="8">
        <v>3.9E-2</v>
      </c>
      <c r="N21">
        <v>18</v>
      </c>
      <c r="O21">
        <f t="shared" si="3"/>
        <v>8.3666666666666667E-2</v>
      </c>
      <c r="P21" s="8">
        <v>8.4000000000000005E-2</v>
      </c>
      <c r="Q21" s="8">
        <v>7.9000000000000001E-2</v>
      </c>
      <c r="R21" s="8">
        <v>8.7999999999999995E-2</v>
      </c>
    </row>
    <row r="22" spans="1:18" x14ac:dyDescent="0.35">
      <c r="A22">
        <v>18</v>
      </c>
      <c r="B22">
        <f t="shared" si="4"/>
        <v>3.7999999999999999E-2</v>
      </c>
      <c r="C22" s="8">
        <v>3.7999999999999999E-2</v>
      </c>
      <c r="D22" s="8">
        <v>3.7999999999999999E-2</v>
      </c>
      <c r="E22" s="8">
        <v>3.7999999999999999E-2</v>
      </c>
      <c r="N22">
        <v>9</v>
      </c>
      <c r="P22" s="23">
        <v>3.6999999999999998E-2</v>
      </c>
      <c r="Q22" s="23">
        <v>0.52100000000000002</v>
      </c>
      <c r="R22" s="23">
        <v>0.56899999999999995</v>
      </c>
    </row>
    <row r="23" spans="1:18" x14ac:dyDescent="0.35">
      <c r="A23">
        <v>9</v>
      </c>
      <c r="B23">
        <f t="shared" si="4"/>
        <v>4.3666666666666666E-2</v>
      </c>
      <c r="C23" s="8">
        <v>3.6999999999999998E-2</v>
      </c>
      <c r="D23" s="8">
        <v>4.7E-2</v>
      </c>
      <c r="E23" s="8">
        <v>4.7E-2</v>
      </c>
      <c r="N23">
        <v>6</v>
      </c>
      <c r="O23">
        <f t="shared" si="3"/>
        <v>5.4333333333333338E-2</v>
      </c>
      <c r="P23" s="8">
        <v>5.3999999999999999E-2</v>
      </c>
      <c r="Q23" s="8">
        <v>5.7000000000000002E-2</v>
      </c>
      <c r="R23" s="8">
        <v>5.1999999999999998E-2</v>
      </c>
    </row>
    <row r="24" spans="1:18" x14ac:dyDescent="0.35">
      <c r="A24">
        <v>6</v>
      </c>
      <c r="B24">
        <f t="shared" si="4"/>
        <v>3.6999999999999998E-2</v>
      </c>
      <c r="C24" s="8">
        <v>3.6999999999999998E-2</v>
      </c>
      <c r="D24" s="8">
        <v>3.6999999999999998E-2</v>
      </c>
      <c r="E24" s="8">
        <v>3.6999999999999998E-2</v>
      </c>
      <c r="N24">
        <v>3</v>
      </c>
      <c r="O24">
        <f t="shared" si="3"/>
        <v>4.6333333333333337E-2</v>
      </c>
      <c r="P24" s="8">
        <v>4.8000000000000001E-2</v>
      </c>
      <c r="Q24" s="8">
        <v>4.5999999999999999E-2</v>
      </c>
      <c r="R24" s="8">
        <v>4.4999999999999998E-2</v>
      </c>
    </row>
    <row r="25" spans="1:18" x14ac:dyDescent="0.35">
      <c r="A25">
        <v>3</v>
      </c>
      <c r="B25">
        <f t="shared" si="4"/>
        <v>3.7666666666666661E-2</v>
      </c>
      <c r="C25" s="8">
        <v>3.6999999999999998E-2</v>
      </c>
      <c r="D25" s="8">
        <v>3.7999999999999999E-2</v>
      </c>
      <c r="E25" s="8">
        <v>3.7999999999999999E-2</v>
      </c>
      <c r="N25">
        <v>0.6</v>
      </c>
      <c r="O25">
        <f t="shared" si="3"/>
        <v>4.1333333333333333E-2</v>
      </c>
      <c r="P25" s="8">
        <v>0.04</v>
      </c>
      <c r="Q25" s="8">
        <v>3.9E-2</v>
      </c>
      <c r="R25" s="8">
        <v>4.4999999999999998E-2</v>
      </c>
    </row>
    <row r="26" spans="1:18" x14ac:dyDescent="0.35">
      <c r="A26">
        <v>0.6</v>
      </c>
      <c r="B26">
        <f t="shared" si="4"/>
        <v>4.0333333333333332E-2</v>
      </c>
      <c r="C26" s="8">
        <v>3.7999999999999999E-2</v>
      </c>
      <c r="D26" s="8">
        <v>3.7999999999999999E-2</v>
      </c>
      <c r="E26" s="8">
        <v>4.4999999999999998E-2</v>
      </c>
      <c r="N26">
        <v>100</v>
      </c>
      <c r="O26">
        <f t="shared" si="3"/>
        <v>0.23266666666666666</v>
      </c>
      <c r="P26" s="8">
        <v>0.192</v>
      </c>
      <c r="Q26" s="8">
        <v>0.29099999999999998</v>
      </c>
      <c r="R26" s="8">
        <v>0.215</v>
      </c>
    </row>
    <row r="27" spans="1:18" x14ac:dyDescent="0.35">
      <c r="A27">
        <v>100</v>
      </c>
      <c r="B27">
        <f t="shared" si="4"/>
        <v>4.1000000000000002E-2</v>
      </c>
      <c r="C27" s="8">
        <v>0.04</v>
      </c>
      <c r="D27" s="8">
        <v>4.1000000000000002E-2</v>
      </c>
      <c r="E27" s="8">
        <v>4.2000000000000003E-2</v>
      </c>
      <c r="N27">
        <v>250</v>
      </c>
      <c r="O27">
        <f t="shared" si="3"/>
        <v>0.316</v>
      </c>
      <c r="P27" s="8">
        <v>0.312</v>
      </c>
      <c r="Q27" s="8">
        <v>0.33900000000000002</v>
      </c>
      <c r="R27" s="8">
        <v>0.29699999999999999</v>
      </c>
    </row>
    <row r="28" spans="1:18" x14ac:dyDescent="0.35">
      <c r="A28">
        <v>250</v>
      </c>
      <c r="B28">
        <f t="shared" si="4"/>
        <v>4.2000000000000003E-2</v>
      </c>
      <c r="C28" s="8">
        <v>4.2000000000000003E-2</v>
      </c>
      <c r="D28" s="8">
        <v>4.2999999999999997E-2</v>
      </c>
      <c r="E28" s="8">
        <v>4.1000000000000002E-2</v>
      </c>
      <c r="N28">
        <v>500</v>
      </c>
      <c r="O28">
        <f>AVERAGE(Q28:R28)</f>
        <v>0.3725</v>
      </c>
      <c r="P28" s="8">
        <v>0.317</v>
      </c>
      <c r="Q28" s="8">
        <v>0.42</v>
      </c>
      <c r="R28" s="8">
        <v>0.32500000000000001</v>
      </c>
    </row>
    <row r="29" spans="1:18" x14ac:dyDescent="0.35">
      <c r="A29">
        <v>500</v>
      </c>
      <c r="B29">
        <f t="shared" si="4"/>
        <v>4.2000000000000003E-2</v>
      </c>
      <c r="C29" s="8">
        <v>4.2000000000000003E-2</v>
      </c>
      <c r="D29" s="8">
        <v>4.1000000000000002E-2</v>
      </c>
      <c r="E29" s="8">
        <v>4.2999999999999997E-2</v>
      </c>
      <c r="N29">
        <v>0</v>
      </c>
      <c r="O29">
        <f t="shared" si="3"/>
        <v>3.7999999999999999E-2</v>
      </c>
      <c r="P29" s="8">
        <v>3.7999999999999999E-2</v>
      </c>
      <c r="Q29" s="8">
        <v>3.7999999999999999E-2</v>
      </c>
      <c r="R29" s="8">
        <v>3.7999999999999999E-2</v>
      </c>
    </row>
    <row r="30" spans="1:18" x14ac:dyDescent="0.35">
      <c r="A30">
        <v>0</v>
      </c>
      <c r="B30" t="e">
        <f t="shared" si="4"/>
        <v>#DIV/0!</v>
      </c>
      <c r="C30" s="8"/>
      <c r="D30" s="8"/>
      <c r="E30" s="8"/>
    </row>
    <row r="33" spans="15:18" x14ac:dyDescent="0.35">
      <c r="O33" s="3" t="s">
        <v>8</v>
      </c>
      <c r="P33" s="4" t="s">
        <v>9</v>
      </c>
      <c r="Q33" s="4"/>
      <c r="R33" s="4" t="s">
        <v>10</v>
      </c>
    </row>
    <row r="34" spans="15:18" x14ac:dyDescent="0.35">
      <c r="P34" t="s">
        <v>11</v>
      </c>
      <c r="Q34" t="s">
        <v>12</v>
      </c>
      <c r="R34" t="s">
        <v>13</v>
      </c>
    </row>
    <row r="35" spans="15:18" x14ac:dyDescent="0.35">
      <c r="P35" s="5">
        <f>((P18/0.8)/C3)*100</f>
        <v>138.51351351351352</v>
      </c>
      <c r="Q35" s="5">
        <f>((Q18/0.8)/D3)*100</f>
        <v>173.3576642335766</v>
      </c>
      <c r="R35" s="5">
        <f>((R18/0.8)/E3)*100</f>
        <v>117.56756756756755</v>
      </c>
    </row>
  </sheetData>
  <mergeCells count="2">
    <mergeCell ref="A1:L1"/>
    <mergeCell ref="N1:Y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5B15-A5EE-46E6-85E0-298C328CE1B6}">
  <dimension ref="A1:N44"/>
  <sheetViews>
    <sheetView workbookViewId="0">
      <selection activeCell="E49" sqref="E49"/>
    </sheetView>
  </sheetViews>
  <sheetFormatPr defaultRowHeight="14.5" x14ac:dyDescent="0.35"/>
  <sheetData>
    <row r="1" spans="1:14" x14ac:dyDescent="0.35">
      <c r="A1" t="s">
        <v>14</v>
      </c>
    </row>
    <row r="3" spans="1:14" x14ac:dyDescent="0.35">
      <c r="A3" s="6"/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</row>
    <row r="4" spans="1:14" x14ac:dyDescent="0.35">
      <c r="A4" s="7" t="s">
        <v>15</v>
      </c>
      <c r="B4">
        <v>0.13</v>
      </c>
      <c r="C4">
        <v>0.13400000000000001</v>
      </c>
      <c r="D4">
        <v>0.13800000000000001</v>
      </c>
      <c r="E4">
        <v>0.253</v>
      </c>
      <c r="F4">
        <v>0.23499999999999999</v>
      </c>
      <c r="G4">
        <v>0.20799999999999999</v>
      </c>
      <c r="H4">
        <v>3.9E-2</v>
      </c>
      <c r="I4">
        <v>3.6999999999999998E-2</v>
      </c>
      <c r="J4">
        <v>3.7999999999999999E-2</v>
      </c>
      <c r="K4">
        <v>3.7999999999999999E-2</v>
      </c>
      <c r="L4">
        <v>3.9E-2</v>
      </c>
      <c r="M4">
        <v>3.7999999999999999E-2</v>
      </c>
      <c r="N4" s="9">
        <v>562</v>
      </c>
    </row>
    <row r="5" spans="1:14" x14ac:dyDescent="0.35">
      <c r="A5" s="7" t="s">
        <v>16</v>
      </c>
      <c r="B5">
        <v>9.2999999999999999E-2</v>
      </c>
      <c r="C5">
        <v>0.13600000000000001</v>
      </c>
      <c r="D5">
        <v>0.11700000000000001</v>
      </c>
      <c r="E5">
        <v>0.29499999999999998</v>
      </c>
      <c r="F5">
        <v>0.42799999999999999</v>
      </c>
      <c r="G5">
        <v>0.374</v>
      </c>
      <c r="H5">
        <v>3.9E-2</v>
      </c>
      <c r="I5">
        <v>3.9E-2</v>
      </c>
      <c r="J5">
        <v>3.7999999999999999E-2</v>
      </c>
      <c r="K5">
        <v>3.9E-2</v>
      </c>
      <c r="L5">
        <v>0.04</v>
      </c>
      <c r="M5">
        <v>3.7999999999999999E-2</v>
      </c>
      <c r="N5" s="9">
        <v>562</v>
      </c>
    </row>
    <row r="6" spans="1:14" x14ac:dyDescent="0.35">
      <c r="A6" s="7" t="s">
        <v>17</v>
      </c>
      <c r="B6">
        <v>8.5000000000000006E-2</v>
      </c>
      <c r="C6">
        <v>9.7000000000000003E-2</v>
      </c>
      <c r="D6">
        <v>9.2999999999999999E-2</v>
      </c>
      <c r="E6">
        <v>0.79</v>
      </c>
      <c r="F6">
        <v>0.85799999999999998</v>
      </c>
      <c r="G6">
        <v>0.94699999999999995</v>
      </c>
      <c r="H6">
        <v>3.7999999999999999E-2</v>
      </c>
      <c r="I6">
        <v>3.7999999999999999E-2</v>
      </c>
      <c r="J6">
        <v>3.6999999999999998E-2</v>
      </c>
      <c r="K6">
        <v>0.04</v>
      </c>
      <c r="L6">
        <v>0.04</v>
      </c>
      <c r="M6">
        <v>4.1000000000000002E-2</v>
      </c>
      <c r="N6" s="9">
        <v>562</v>
      </c>
    </row>
    <row r="7" spans="1:14" x14ac:dyDescent="0.35">
      <c r="A7" s="7" t="s">
        <v>18</v>
      </c>
      <c r="B7">
        <v>6.8000000000000005E-2</v>
      </c>
      <c r="C7">
        <v>6.8000000000000005E-2</v>
      </c>
      <c r="D7">
        <v>6.5000000000000002E-2</v>
      </c>
      <c r="E7">
        <v>4.7E-2</v>
      </c>
      <c r="F7">
        <v>4.7E-2</v>
      </c>
      <c r="G7">
        <v>4.7E-2</v>
      </c>
      <c r="H7">
        <v>3.7999999999999999E-2</v>
      </c>
      <c r="I7">
        <v>3.7999999999999999E-2</v>
      </c>
      <c r="J7">
        <v>3.7999999999999999E-2</v>
      </c>
      <c r="K7">
        <v>4.7E-2</v>
      </c>
      <c r="L7">
        <v>4.8000000000000001E-2</v>
      </c>
      <c r="M7">
        <v>4.7E-2</v>
      </c>
      <c r="N7" s="9">
        <v>562</v>
      </c>
    </row>
    <row r="8" spans="1:14" x14ac:dyDescent="0.35">
      <c r="A8" s="7" t="s">
        <v>19</v>
      </c>
      <c r="B8">
        <v>5.2999999999999999E-2</v>
      </c>
      <c r="C8">
        <v>5.2999999999999999E-2</v>
      </c>
      <c r="D8">
        <v>5.2999999999999999E-2</v>
      </c>
      <c r="E8">
        <v>4.7E-2</v>
      </c>
      <c r="F8">
        <v>4.7E-2</v>
      </c>
      <c r="G8">
        <v>4.7E-2</v>
      </c>
      <c r="H8">
        <v>3.6999999999999998E-2</v>
      </c>
      <c r="I8">
        <v>3.6999999999999998E-2</v>
      </c>
      <c r="J8">
        <v>3.6999999999999998E-2</v>
      </c>
      <c r="K8">
        <v>4.7E-2</v>
      </c>
      <c r="L8">
        <v>4.8000000000000001E-2</v>
      </c>
      <c r="M8">
        <v>4.7E-2</v>
      </c>
      <c r="N8" s="9">
        <v>562</v>
      </c>
    </row>
    <row r="9" spans="1:14" x14ac:dyDescent="0.35">
      <c r="A9" s="7" t="s">
        <v>20</v>
      </c>
      <c r="B9">
        <v>4.9000000000000002E-2</v>
      </c>
      <c r="C9">
        <v>5.0999999999999997E-2</v>
      </c>
      <c r="D9">
        <v>5.0999999999999997E-2</v>
      </c>
      <c r="E9">
        <v>4.7E-2</v>
      </c>
      <c r="F9">
        <v>4.7E-2</v>
      </c>
      <c r="G9">
        <v>4.7E-2</v>
      </c>
      <c r="H9">
        <v>3.6999999999999998E-2</v>
      </c>
      <c r="I9">
        <v>3.7999999999999999E-2</v>
      </c>
      <c r="J9">
        <v>3.7999999999999999E-2</v>
      </c>
      <c r="K9">
        <v>4.7E-2</v>
      </c>
      <c r="L9">
        <v>4.7E-2</v>
      </c>
      <c r="M9">
        <v>4.8000000000000001E-2</v>
      </c>
      <c r="N9" s="9">
        <v>562</v>
      </c>
    </row>
    <row r="10" spans="1:14" x14ac:dyDescent="0.35">
      <c r="A10" s="7" t="s">
        <v>21</v>
      </c>
      <c r="B10">
        <v>4.2999999999999997E-2</v>
      </c>
      <c r="C10">
        <v>4.2999999999999997E-2</v>
      </c>
      <c r="D10">
        <v>4.4999999999999998E-2</v>
      </c>
      <c r="E10">
        <v>4.7E-2</v>
      </c>
      <c r="F10">
        <v>4.7E-2</v>
      </c>
      <c r="G10">
        <v>4.7E-2</v>
      </c>
      <c r="H10">
        <v>3.7999999999999999E-2</v>
      </c>
      <c r="I10">
        <v>3.6999999999999998E-2</v>
      </c>
      <c r="J10">
        <v>3.6999999999999998E-2</v>
      </c>
      <c r="K10">
        <v>4.7E-2</v>
      </c>
      <c r="L10">
        <v>4.7E-2</v>
      </c>
      <c r="M10">
        <v>4.7E-2</v>
      </c>
      <c r="N10" s="9">
        <v>562</v>
      </c>
    </row>
    <row r="11" spans="1:14" x14ac:dyDescent="0.35">
      <c r="A11" s="7" t="s">
        <v>22</v>
      </c>
      <c r="B11">
        <v>3.9E-2</v>
      </c>
      <c r="C11">
        <v>3.9E-2</v>
      </c>
      <c r="D11">
        <v>3.9E-2</v>
      </c>
      <c r="E11">
        <v>3.6999999999999998E-2</v>
      </c>
      <c r="F11">
        <v>3.7999999999999999E-2</v>
      </c>
      <c r="G11">
        <v>3.7999999999999999E-2</v>
      </c>
      <c r="H11">
        <v>3.6999999999999998E-2</v>
      </c>
      <c r="I11">
        <v>3.7999999999999999E-2</v>
      </c>
      <c r="J11">
        <v>3.7999999999999999E-2</v>
      </c>
      <c r="K11">
        <v>3.6999999999999998E-2</v>
      </c>
      <c r="L11">
        <v>3.7999999999999999E-2</v>
      </c>
      <c r="M11">
        <v>3.6999999999999998E-2</v>
      </c>
      <c r="N11" s="9">
        <v>562</v>
      </c>
    </row>
    <row r="13" spans="1:14" x14ac:dyDescent="0.35">
      <c r="A13" s="10" t="s">
        <v>23</v>
      </c>
    </row>
    <row r="14" spans="1:14" x14ac:dyDescent="0.35">
      <c r="A14" s="6"/>
      <c r="B14" s="7">
        <v>1</v>
      </c>
      <c r="C14" s="7">
        <v>2</v>
      </c>
      <c r="D14" s="7">
        <v>3</v>
      </c>
      <c r="E14" s="7">
        <v>4</v>
      </c>
      <c r="F14" s="7">
        <v>5</v>
      </c>
      <c r="G14" s="7">
        <v>6</v>
      </c>
      <c r="H14" s="7">
        <v>7</v>
      </c>
      <c r="I14" s="7">
        <v>8</v>
      </c>
      <c r="J14" s="7">
        <v>9</v>
      </c>
      <c r="K14" s="7">
        <v>10</v>
      </c>
      <c r="L14" s="7">
        <v>11</v>
      </c>
      <c r="M14" s="7">
        <v>12</v>
      </c>
    </row>
    <row r="15" spans="1:14" x14ac:dyDescent="0.35">
      <c r="A15" s="7" t="s">
        <v>15</v>
      </c>
      <c r="B15">
        <v>0.30599999999999999</v>
      </c>
      <c r="C15">
        <v>0.28899999999999998</v>
      </c>
      <c r="D15">
        <v>0.33300000000000002</v>
      </c>
      <c r="E15">
        <v>0.46500000000000002</v>
      </c>
      <c r="F15">
        <v>0.45</v>
      </c>
      <c r="G15">
        <v>0.45800000000000002</v>
      </c>
      <c r="H15">
        <v>0.154</v>
      </c>
      <c r="I15">
        <v>0.20899999999999999</v>
      </c>
      <c r="J15">
        <v>0.18099999999999999</v>
      </c>
      <c r="K15">
        <v>0.30399999999999999</v>
      </c>
      <c r="L15">
        <v>0.27</v>
      </c>
      <c r="M15">
        <v>0.26200000000000001</v>
      </c>
      <c r="N15" s="9">
        <v>562</v>
      </c>
    </row>
    <row r="16" spans="1:14" x14ac:dyDescent="0.35">
      <c r="A16" s="7" t="s">
        <v>16</v>
      </c>
      <c r="B16">
        <v>0.20899999999999999</v>
      </c>
      <c r="C16">
        <v>0.245</v>
      </c>
      <c r="D16">
        <v>0.214</v>
      </c>
      <c r="E16">
        <v>0.63300000000000001</v>
      </c>
      <c r="F16">
        <v>0.66200000000000003</v>
      </c>
      <c r="G16">
        <v>0.74299999999999999</v>
      </c>
      <c r="H16">
        <v>0.13400000000000001</v>
      </c>
      <c r="I16">
        <v>0.16600000000000001</v>
      </c>
      <c r="J16">
        <v>0.13900000000000001</v>
      </c>
      <c r="K16">
        <v>0.30499999999999999</v>
      </c>
      <c r="L16">
        <v>0.36099999999999999</v>
      </c>
      <c r="M16">
        <v>0.35499999999999998</v>
      </c>
      <c r="N16" s="9">
        <v>562</v>
      </c>
    </row>
    <row r="17" spans="1:14" x14ac:dyDescent="0.35">
      <c r="A17" s="7" t="s">
        <v>17</v>
      </c>
      <c r="B17">
        <v>0.17399999999999999</v>
      </c>
      <c r="C17">
        <v>0.154</v>
      </c>
      <c r="D17">
        <v>0.18099999999999999</v>
      </c>
      <c r="E17">
        <v>0.93700000000000006</v>
      </c>
      <c r="F17">
        <v>1.0149999999999999</v>
      </c>
      <c r="G17">
        <v>1.099</v>
      </c>
      <c r="H17">
        <v>0.124</v>
      </c>
      <c r="I17">
        <v>0.112</v>
      </c>
      <c r="J17">
        <v>0.111</v>
      </c>
      <c r="K17">
        <v>0.67700000000000005</v>
      </c>
      <c r="L17">
        <v>0.39700000000000002</v>
      </c>
      <c r="M17">
        <v>0.34499999999999997</v>
      </c>
      <c r="N17" s="9">
        <v>562</v>
      </c>
    </row>
    <row r="18" spans="1:14" x14ac:dyDescent="0.35">
      <c r="A18" s="7" t="s">
        <v>18</v>
      </c>
      <c r="B18">
        <v>0.115</v>
      </c>
      <c r="C18">
        <v>0.10100000000000001</v>
      </c>
      <c r="D18">
        <v>0.11700000000000001</v>
      </c>
      <c r="E18">
        <v>4.7E-2</v>
      </c>
      <c r="F18">
        <v>4.7E-2</v>
      </c>
      <c r="G18">
        <v>4.7E-2</v>
      </c>
      <c r="H18">
        <v>8.7999999999999995E-2</v>
      </c>
      <c r="I18">
        <v>7.3999999999999996E-2</v>
      </c>
      <c r="J18">
        <v>8.5000000000000006E-2</v>
      </c>
      <c r="K18">
        <v>4.7E-2</v>
      </c>
      <c r="L18">
        <v>4.8000000000000001E-2</v>
      </c>
      <c r="M18">
        <v>4.7E-2</v>
      </c>
      <c r="N18" s="9">
        <v>562</v>
      </c>
    </row>
    <row r="19" spans="1:14" x14ac:dyDescent="0.35">
      <c r="A19" s="7" t="s">
        <v>19</v>
      </c>
      <c r="B19">
        <v>7.5999999999999998E-2</v>
      </c>
      <c r="C19">
        <v>8.2000000000000003E-2</v>
      </c>
      <c r="D19">
        <v>7.2999999999999995E-2</v>
      </c>
      <c r="E19">
        <v>4.7E-2</v>
      </c>
      <c r="F19">
        <v>4.7E-2</v>
      </c>
      <c r="G19">
        <v>4.7E-2</v>
      </c>
      <c r="H19">
        <v>5.6000000000000001E-2</v>
      </c>
      <c r="I19">
        <v>0.06</v>
      </c>
      <c r="J19">
        <v>5.8999999999999997E-2</v>
      </c>
      <c r="K19">
        <v>4.7E-2</v>
      </c>
      <c r="L19">
        <v>4.8000000000000001E-2</v>
      </c>
      <c r="M19">
        <v>4.7E-2</v>
      </c>
      <c r="N19" s="9">
        <v>562</v>
      </c>
    </row>
    <row r="20" spans="1:14" x14ac:dyDescent="0.35">
      <c r="A20" s="7" t="s">
        <v>20</v>
      </c>
      <c r="B20">
        <v>6.5000000000000002E-2</v>
      </c>
      <c r="C20">
        <v>6.5000000000000002E-2</v>
      </c>
      <c r="D20">
        <v>5.6000000000000001E-2</v>
      </c>
      <c r="E20">
        <v>4.7E-2</v>
      </c>
      <c r="F20">
        <v>4.7E-2</v>
      </c>
      <c r="G20">
        <v>4.7E-2</v>
      </c>
      <c r="H20">
        <v>5.8000000000000003E-2</v>
      </c>
      <c r="I20">
        <v>5.2999999999999999E-2</v>
      </c>
      <c r="J20">
        <v>4.8000000000000001E-2</v>
      </c>
      <c r="K20">
        <v>4.7E-2</v>
      </c>
      <c r="L20">
        <v>4.7E-2</v>
      </c>
      <c r="M20">
        <v>4.8000000000000001E-2</v>
      </c>
      <c r="N20" s="9">
        <v>562</v>
      </c>
    </row>
    <row r="21" spans="1:14" x14ac:dyDescent="0.35">
      <c r="A21" s="7" t="s">
        <v>21</v>
      </c>
      <c r="B21">
        <v>0.05</v>
      </c>
      <c r="C21">
        <v>5.0999999999999997E-2</v>
      </c>
      <c r="D21">
        <v>5.1999999999999998E-2</v>
      </c>
      <c r="E21">
        <v>4.7E-2</v>
      </c>
      <c r="F21">
        <v>4.7E-2</v>
      </c>
      <c r="G21">
        <v>4.7E-2</v>
      </c>
      <c r="H21">
        <v>4.8000000000000001E-2</v>
      </c>
      <c r="I21">
        <v>4.5999999999999999E-2</v>
      </c>
      <c r="J21">
        <v>4.8000000000000001E-2</v>
      </c>
      <c r="K21">
        <v>4.7E-2</v>
      </c>
      <c r="L21">
        <v>4.7E-2</v>
      </c>
      <c r="M21">
        <v>4.7E-2</v>
      </c>
      <c r="N21" s="9">
        <v>562</v>
      </c>
    </row>
    <row r="22" spans="1:14" x14ac:dyDescent="0.35">
      <c r="A22" s="7" t="s">
        <v>22</v>
      </c>
      <c r="B22">
        <v>4.1000000000000002E-2</v>
      </c>
      <c r="C22">
        <v>0.04</v>
      </c>
      <c r="D22">
        <v>4.2000000000000003E-2</v>
      </c>
      <c r="E22">
        <v>3.7999999999999999E-2</v>
      </c>
      <c r="F22">
        <v>3.7999999999999999E-2</v>
      </c>
      <c r="G22">
        <v>3.7999999999999999E-2</v>
      </c>
      <c r="H22">
        <v>3.9E-2</v>
      </c>
      <c r="I22">
        <v>0.04</v>
      </c>
      <c r="J22">
        <v>4.1000000000000002E-2</v>
      </c>
      <c r="K22">
        <v>3.7999999999999999E-2</v>
      </c>
      <c r="L22">
        <v>3.7999999999999999E-2</v>
      </c>
      <c r="M22">
        <v>3.7999999999999999E-2</v>
      </c>
      <c r="N22" s="9">
        <v>562</v>
      </c>
    </row>
    <row r="24" spans="1:14" x14ac:dyDescent="0.35">
      <c r="A24" s="11" t="s">
        <v>24</v>
      </c>
    </row>
    <row r="25" spans="1:14" x14ac:dyDescent="0.35">
      <c r="A25" s="6"/>
      <c r="B25" s="7">
        <v>1</v>
      </c>
      <c r="C25" s="7">
        <v>2</v>
      </c>
      <c r="D25" s="7">
        <v>3</v>
      </c>
      <c r="E25" s="7">
        <v>4</v>
      </c>
      <c r="F25" s="7">
        <v>5</v>
      </c>
      <c r="G25" s="7">
        <v>6</v>
      </c>
      <c r="H25" s="7">
        <v>7</v>
      </c>
      <c r="I25" s="7">
        <v>8</v>
      </c>
      <c r="J25" s="7">
        <v>9</v>
      </c>
      <c r="K25" s="7">
        <v>10</v>
      </c>
      <c r="L25" s="7">
        <v>11</v>
      </c>
      <c r="M25" s="7">
        <v>12</v>
      </c>
    </row>
    <row r="26" spans="1:14" x14ac:dyDescent="0.35">
      <c r="A26" s="7" t="s">
        <v>15</v>
      </c>
      <c r="B26">
        <v>0.66</v>
      </c>
      <c r="C26">
        <v>0.745</v>
      </c>
      <c r="D26">
        <v>0.98</v>
      </c>
      <c r="E26">
        <v>0.04</v>
      </c>
      <c r="F26">
        <v>0.04</v>
      </c>
      <c r="G26">
        <v>4.1000000000000002E-2</v>
      </c>
      <c r="H26">
        <v>4.1000000000000002E-2</v>
      </c>
      <c r="I26">
        <v>3.9E-2</v>
      </c>
      <c r="J26">
        <v>3.9E-2</v>
      </c>
      <c r="K26">
        <v>4.7E-2</v>
      </c>
      <c r="L26">
        <v>4.7E-2</v>
      </c>
      <c r="M26">
        <v>4.7E-2</v>
      </c>
      <c r="N26" s="9">
        <v>562</v>
      </c>
    </row>
    <row r="27" spans="1:14" x14ac:dyDescent="0.35">
      <c r="A27" s="7" t="s">
        <v>16</v>
      </c>
      <c r="B27">
        <v>3.7999999999999999E-2</v>
      </c>
      <c r="C27">
        <v>3.9E-2</v>
      </c>
      <c r="D27">
        <v>3.7999999999999999E-2</v>
      </c>
      <c r="E27">
        <v>4.2000000000000003E-2</v>
      </c>
      <c r="F27">
        <v>0.04</v>
      </c>
      <c r="G27">
        <v>0.04</v>
      </c>
      <c r="H27">
        <v>0.16200000000000001</v>
      </c>
      <c r="I27">
        <v>0.154</v>
      </c>
      <c r="J27">
        <v>0.14799999999999999</v>
      </c>
      <c r="K27">
        <v>0.05</v>
      </c>
      <c r="L27">
        <v>4.7E-2</v>
      </c>
      <c r="M27">
        <v>4.7E-2</v>
      </c>
      <c r="N27" s="9">
        <v>562</v>
      </c>
    </row>
    <row r="28" spans="1:14" x14ac:dyDescent="0.35">
      <c r="A28" s="7" t="s">
        <v>17</v>
      </c>
      <c r="B28">
        <v>3.6999999999999998E-2</v>
      </c>
      <c r="C28">
        <v>3.6999999999999998E-2</v>
      </c>
      <c r="D28">
        <v>3.7999999999999999E-2</v>
      </c>
      <c r="E28">
        <v>4.7E-2</v>
      </c>
      <c r="F28">
        <v>4.7E-2</v>
      </c>
      <c r="G28">
        <v>4.8000000000000001E-2</v>
      </c>
      <c r="H28">
        <v>6.9000000000000006E-2</v>
      </c>
      <c r="I28">
        <v>6.7000000000000004E-2</v>
      </c>
      <c r="J28">
        <v>6.7000000000000004E-2</v>
      </c>
      <c r="K28">
        <v>4.7E-2</v>
      </c>
      <c r="L28">
        <v>4.7E-2</v>
      </c>
      <c r="M28">
        <v>4.8000000000000001E-2</v>
      </c>
      <c r="N28" s="9">
        <v>562</v>
      </c>
    </row>
    <row r="29" spans="1:14" x14ac:dyDescent="0.35">
      <c r="A29" s="7" t="s">
        <v>18</v>
      </c>
      <c r="B29">
        <v>3.9E-2</v>
      </c>
      <c r="C29">
        <v>3.9E-2</v>
      </c>
      <c r="D29">
        <v>3.9E-2</v>
      </c>
      <c r="E29">
        <v>4.5999999999999999E-2</v>
      </c>
      <c r="F29">
        <v>4.4999999999999998E-2</v>
      </c>
      <c r="G29">
        <v>4.5999999999999999E-2</v>
      </c>
      <c r="H29">
        <v>6.5000000000000002E-2</v>
      </c>
      <c r="I29">
        <v>6.7000000000000004E-2</v>
      </c>
      <c r="J29">
        <v>6.7000000000000004E-2</v>
      </c>
      <c r="K29">
        <v>4.7E-2</v>
      </c>
      <c r="L29">
        <v>4.7E-2</v>
      </c>
      <c r="M29">
        <v>4.7E-2</v>
      </c>
      <c r="N29" s="9">
        <v>562</v>
      </c>
    </row>
    <row r="30" spans="1:14" x14ac:dyDescent="0.35">
      <c r="A30" s="7" t="s">
        <v>19</v>
      </c>
      <c r="B30">
        <v>4.2999999999999997E-2</v>
      </c>
      <c r="C30">
        <v>4.2000000000000003E-2</v>
      </c>
      <c r="D30">
        <v>4.2000000000000003E-2</v>
      </c>
      <c r="E30">
        <v>4.3999999999999997E-2</v>
      </c>
      <c r="F30">
        <v>4.3999999999999997E-2</v>
      </c>
      <c r="G30">
        <v>4.2999999999999997E-2</v>
      </c>
      <c r="H30">
        <v>5.6000000000000001E-2</v>
      </c>
      <c r="I30">
        <v>5.5E-2</v>
      </c>
      <c r="J30">
        <v>5.6000000000000001E-2</v>
      </c>
      <c r="K30">
        <v>4.7E-2</v>
      </c>
      <c r="L30">
        <v>4.7E-2</v>
      </c>
      <c r="M30">
        <v>4.7E-2</v>
      </c>
      <c r="N30" s="9">
        <v>562</v>
      </c>
    </row>
    <row r="31" spans="1:14" x14ac:dyDescent="0.35">
      <c r="A31" s="7" t="s">
        <v>20</v>
      </c>
      <c r="B31">
        <v>4.3999999999999997E-2</v>
      </c>
      <c r="C31">
        <v>4.2999999999999997E-2</v>
      </c>
      <c r="D31">
        <v>4.2000000000000003E-2</v>
      </c>
      <c r="E31">
        <v>0.04</v>
      </c>
      <c r="F31">
        <v>4.1000000000000002E-2</v>
      </c>
      <c r="G31">
        <v>0.04</v>
      </c>
      <c r="H31">
        <v>0.27</v>
      </c>
      <c r="I31">
        <v>0.16700000000000001</v>
      </c>
      <c r="J31">
        <v>0.16500000000000001</v>
      </c>
      <c r="K31">
        <v>4.7E-2</v>
      </c>
      <c r="L31">
        <v>4.7E-2</v>
      </c>
      <c r="M31">
        <v>4.8000000000000001E-2</v>
      </c>
      <c r="N31" s="9">
        <v>562</v>
      </c>
    </row>
    <row r="32" spans="1:14" x14ac:dyDescent="0.35">
      <c r="A32" s="7" t="s">
        <v>21</v>
      </c>
      <c r="B32">
        <v>0.08</v>
      </c>
      <c r="C32">
        <v>0.08</v>
      </c>
      <c r="D32">
        <v>7.6999999999999999E-2</v>
      </c>
      <c r="E32">
        <v>5.2999999999999999E-2</v>
      </c>
      <c r="F32">
        <v>5.1999999999999998E-2</v>
      </c>
      <c r="G32">
        <v>5.2999999999999999E-2</v>
      </c>
      <c r="H32">
        <v>4.4999999999999998E-2</v>
      </c>
      <c r="I32">
        <v>4.3999999999999997E-2</v>
      </c>
      <c r="J32">
        <v>4.4999999999999998E-2</v>
      </c>
      <c r="K32">
        <v>4.7E-2</v>
      </c>
      <c r="L32">
        <v>4.7E-2</v>
      </c>
      <c r="M32">
        <v>4.7E-2</v>
      </c>
      <c r="N32" s="9">
        <v>562</v>
      </c>
    </row>
    <row r="33" spans="1:14" x14ac:dyDescent="0.35">
      <c r="A33" s="7" t="s">
        <v>22</v>
      </c>
      <c r="B33">
        <v>4.5999999999999999E-2</v>
      </c>
      <c r="C33">
        <v>4.4999999999999998E-2</v>
      </c>
      <c r="D33">
        <v>4.4999999999999998E-2</v>
      </c>
      <c r="E33">
        <v>3.9E-2</v>
      </c>
      <c r="F33">
        <v>3.9E-2</v>
      </c>
      <c r="G33">
        <v>3.9E-2</v>
      </c>
      <c r="H33">
        <v>4.7E-2</v>
      </c>
      <c r="I33">
        <v>4.7E-2</v>
      </c>
      <c r="J33">
        <v>4.8000000000000001E-2</v>
      </c>
      <c r="K33">
        <v>3.6999999999999998E-2</v>
      </c>
      <c r="L33">
        <v>3.6999999999999998E-2</v>
      </c>
      <c r="M33">
        <v>3.6999999999999998E-2</v>
      </c>
      <c r="N33" s="9">
        <v>562</v>
      </c>
    </row>
    <row r="35" spans="1:14" s="11" customFormat="1" x14ac:dyDescent="0.35">
      <c r="A35" s="10" t="s">
        <v>25</v>
      </c>
    </row>
    <row r="36" spans="1:14" x14ac:dyDescent="0.35">
      <c r="A36" s="6"/>
      <c r="B36" s="7">
        <v>1</v>
      </c>
      <c r="C36" s="7">
        <v>2</v>
      </c>
      <c r="D36" s="7">
        <v>3</v>
      </c>
      <c r="E36" s="7">
        <v>4</v>
      </c>
      <c r="F36" s="7">
        <v>5</v>
      </c>
      <c r="G36" s="7">
        <v>6</v>
      </c>
      <c r="H36" s="7">
        <v>7</v>
      </c>
      <c r="I36" s="7">
        <v>8</v>
      </c>
      <c r="J36" s="7">
        <v>9</v>
      </c>
      <c r="K36" s="7">
        <v>10</v>
      </c>
      <c r="L36" s="7">
        <v>11</v>
      </c>
      <c r="M36" s="7">
        <v>12</v>
      </c>
    </row>
    <row r="37" spans="1:14" x14ac:dyDescent="0.35">
      <c r="A37" s="7" t="s">
        <v>15</v>
      </c>
      <c r="B37">
        <v>0.87</v>
      </c>
      <c r="C37">
        <v>0.89200000000000002</v>
      </c>
      <c r="D37">
        <v>1.1479999999999999</v>
      </c>
      <c r="E37">
        <v>5.0999999999999997E-2</v>
      </c>
      <c r="F37">
        <v>4.7E-2</v>
      </c>
      <c r="G37">
        <v>4.8000000000000001E-2</v>
      </c>
      <c r="H37">
        <v>4.3999999999999997E-2</v>
      </c>
      <c r="I37">
        <v>4.3999999999999997E-2</v>
      </c>
      <c r="J37">
        <v>4.2999999999999997E-2</v>
      </c>
      <c r="K37">
        <v>4.7E-2</v>
      </c>
      <c r="L37">
        <v>4.9000000000000002E-2</v>
      </c>
      <c r="M37">
        <v>4.7E-2</v>
      </c>
      <c r="N37" s="9">
        <v>562</v>
      </c>
    </row>
    <row r="38" spans="1:14" x14ac:dyDescent="0.35">
      <c r="A38" s="7" t="s">
        <v>16</v>
      </c>
      <c r="B38">
        <v>4.1000000000000002E-2</v>
      </c>
      <c r="C38">
        <v>4.1000000000000002E-2</v>
      </c>
      <c r="D38">
        <v>0.04</v>
      </c>
      <c r="E38">
        <v>4.8000000000000001E-2</v>
      </c>
      <c r="F38">
        <v>4.3999999999999997E-2</v>
      </c>
      <c r="G38">
        <v>4.4999999999999998E-2</v>
      </c>
      <c r="H38">
        <v>0.186</v>
      </c>
      <c r="I38">
        <v>0.18</v>
      </c>
      <c r="J38">
        <v>0.189</v>
      </c>
      <c r="K38">
        <v>5.1999999999999998E-2</v>
      </c>
      <c r="L38">
        <v>4.8000000000000001E-2</v>
      </c>
      <c r="M38">
        <v>4.7E-2</v>
      </c>
      <c r="N38" s="9">
        <v>562</v>
      </c>
    </row>
    <row r="39" spans="1:14" x14ac:dyDescent="0.35">
      <c r="A39" s="7" t="s">
        <v>17</v>
      </c>
      <c r="B39">
        <v>3.7999999999999999E-2</v>
      </c>
      <c r="C39">
        <v>7.1999999999999995E-2</v>
      </c>
      <c r="D39">
        <v>3.7999999999999999E-2</v>
      </c>
      <c r="E39">
        <v>0.05</v>
      </c>
      <c r="F39">
        <v>4.8000000000000001E-2</v>
      </c>
      <c r="G39">
        <v>4.9000000000000002E-2</v>
      </c>
      <c r="H39">
        <v>0.13300000000000001</v>
      </c>
      <c r="I39">
        <v>0.188</v>
      </c>
      <c r="J39">
        <v>0.16900000000000001</v>
      </c>
      <c r="K39">
        <v>4.7E-2</v>
      </c>
      <c r="L39">
        <v>4.7E-2</v>
      </c>
      <c r="M39">
        <v>4.8000000000000001E-2</v>
      </c>
      <c r="N39" s="9">
        <v>562</v>
      </c>
    </row>
    <row r="40" spans="1:14" x14ac:dyDescent="0.35">
      <c r="A40" s="7" t="s">
        <v>18</v>
      </c>
      <c r="B40">
        <v>0.18</v>
      </c>
      <c r="C40">
        <v>0.18</v>
      </c>
      <c r="D40">
        <v>0.20499999999999999</v>
      </c>
      <c r="E40">
        <v>4.8000000000000001E-2</v>
      </c>
      <c r="F40">
        <v>4.5999999999999999E-2</v>
      </c>
      <c r="G40">
        <v>4.7E-2</v>
      </c>
      <c r="H40">
        <v>0.14799999999999999</v>
      </c>
      <c r="I40">
        <v>0.151</v>
      </c>
      <c r="J40">
        <v>0.14799999999999999</v>
      </c>
      <c r="K40">
        <v>4.7E-2</v>
      </c>
      <c r="L40">
        <v>4.7E-2</v>
      </c>
      <c r="M40">
        <v>4.7E-2</v>
      </c>
      <c r="N40" s="9">
        <v>562</v>
      </c>
    </row>
    <row r="41" spans="1:14" x14ac:dyDescent="0.35">
      <c r="A41" s="7" t="s">
        <v>19</v>
      </c>
      <c r="B41">
        <v>4.3999999999999997E-2</v>
      </c>
      <c r="C41">
        <v>4.2999999999999997E-2</v>
      </c>
      <c r="D41">
        <v>4.3999999999999997E-2</v>
      </c>
      <c r="E41">
        <v>4.5999999999999999E-2</v>
      </c>
      <c r="F41">
        <v>4.5999999999999999E-2</v>
      </c>
      <c r="G41">
        <v>4.4999999999999998E-2</v>
      </c>
      <c r="H41">
        <v>0.14399999999999999</v>
      </c>
      <c r="I41">
        <v>0.129</v>
      </c>
      <c r="J41">
        <v>0.13300000000000001</v>
      </c>
      <c r="K41">
        <v>4.7E-2</v>
      </c>
      <c r="L41">
        <v>4.7E-2</v>
      </c>
      <c r="M41">
        <v>4.7E-2</v>
      </c>
      <c r="N41" s="9">
        <v>562</v>
      </c>
    </row>
    <row r="42" spans="1:14" x14ac:dyDescent="0.35">
      <c r="A42" s="7" t="s">
        <v>20</v>
      </c>
      <c r="B42">
        <v>5.6000000000000001E-2</v>
      </c>
      <c r="C42">
        <v>6.2E-2</v>
      </c>
      <c r="D42">
        <v>5.1999999999999998E-2</v>
      </c>
      <c r="E42">
        <v>4.3999999999999997E-2</v>
      </c>
      <c r="F42">
        <v>4.8000000000000001E-2</v>
      </c>
      <c r="G42">
        <v>4.9000000000000002E-2</v>
      </c>
      <c r="H42">
        <v>0.35399999999999998</v>
      </c>
      <c r="I42">
        <v>0.25</v>
      </c>
      <c r="J42">
        <v>0.23100000000000001</v>
      </c>
      <c r="K42">
        <v>4.7E-2</v>
      </c>
      <c r="L42">
        <v>4.7E-2</v>
      </c>
      <c r="M42">
        <v>4.8000000000000001E-2</v>
      </c>
      <c r="N42" s="9">
        <v>562</v>
      </c>
    </row>
    <row r="43" spans="1:14" x14ac:dyDescent="0.35">
      <c r="A43" s="7" t="s">
        <v>21</v>
      </c>
      <c r="B43">
        <v>8.4000000000000005E-2</v>
      </c>
      <c r="C43">
        <v>0.08</v>
      </c>
      <c r="D43">
        <v>7.8E-2</v>
      </c>
      <c r="E43">
        <v>6.0999999999999999E-2</v>
      </c>
      <c r="F43">
        <v>6.2E-2</v>
      </c>
      <c r="G43">
        <v>6.2E-2</v>
      </c>
      <c r="H43">
        <v>8.2000000000000003E-2</v>
      </c>
      <c r="I43">
        <v>7.9000000000000001E-2</v>
      </c>
      <c r="J43">
        <v>7.2999999999999995E-2</v>
      </c>
      <c r="K43">
        <v>4.7E-2</v>
      </c>
      <c r="L43">
        <v>4.7E-2</v>
      </c>
      <c r="M43">
        <v>4.7E-2</v>
      </c>
      <c r="N43" s="9">
        <v>562</v>
      </c>
    </row>
    <row r="44" spans="1:14" x14ac:dyDescent="0.35">
      <c r="A44" s="7" t="s">
        <v>22</v>
      </c>
      <c r="B44">
        <v>8.7999999999999995E-2</v>
      </c>
      <c r="C44">
        <v>8.5000000000000006E-2</v>
      </c>
      <c r="D44">
        <v>7.5999999999999998E-2</v>
      </c>
      <c r="E44">
        <v>4.7E-2</v>
      </c>
      <c r="F44">
        <v>4.4999999999999998E-2</v>
      </c>
      <c r="G44">
        <v>4.4999999999999998E-2</v>
      </c>
      <c r="H44">
        <v>4.7E-2</v>
      </c>
      <c r="I44">
        <v>4.7E-2</v>
      </c>
      <c r="J44">
        <v>4.8000000000000001E-2</v>
      </c>
      <c r="K44">
        <v>3.6999999999999998E-2</v>
      </c>
      <c r="L44">
        <v>3.6999999999999998E-2</v>
      </c>
      <c r="M44">
        <v>3.6999999999999998E-2</v>
      </c>
      <c r="N44" s="9">
        <v>562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B587-D834-475D-B92E-8D004B98FCB6}">
  <dimension ref="A1:M49"/>
  <sheetViews>
    <sheetView workbookViewId="0">
      <selection activeCell="R24" sqref="R24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x14ac:dyDescent="0.35">
      <c r="A1" s="6" t="s">
        <v>4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x14ac:dyDescent="0.35">
      <c r="A2" s="7" t="s">
        <v>15</v>
      </c>
      <c r="B2" s="8">
        <v>0.14799999999999999</v>
      </c>
      <c r="C2" s="8">
        <v>0.13700000000000001</v>
      </c>
      <c r="D2" s="8">
        <v>0.185</v>
      </c>
      <c r="E2" s="8">
        <v>0.24099999999999999</v>
      </c>
      <c r="F2" s="8">
        <v>0.23</v>
      </c>
      <c r="G2" s="8">
        <v>0.23599999999999999</v>
      </c>
      <c r="H2" s="8">
        <v>3.9E-2</v>
      </c>
      <c r="I2" s="8">
        <v>4.1000000000000002E-2</v>
      </c>
      <c r="J2" s="8">
        <v>0.04</v>
      </c>
      <c r="K2" s="8">
        <v>0.04</v>
      </c>
      <c r="L2" s="8">
        <v>4.1000000000000002E-2</v>
      </c>
      <c r="M2" s="8">
        <v>4.2000000000000003E-2</v>
      </c>
    </row>
    <row r="3" spans="1:13" x14ac:dyDescent="0.35">
      <c r="A3" s="7" t="s">
        <v>16</v>
      </c>
      <c r="B3" s="8">
        <v>0.121</v>
      </c>
      <c r="C3" s="8">
        <v>0.11799999999999999</v>
      </c>
      <c r="D3" s="8">
        <v>0.122</v>
      </c>
      <c r="E3" s="8">
        <v>0.45</v>
      </c>
      <c r="F3" s="8" t="s">
        <v>52</v>
      </c>
      <c r="G3" s="8">
        <v>0.45400000000000001</v>
      </c>
      <c r="H3" s="8">
        <v>0.04</v>
      </c>
      <c r="I3" s="8">
        <v>3.9E-2</v>
      </c>
      <c r="J3" s="8">
        <v>3.7999999999999999E-2</v>
      </c>
      <c r="K3" s="8">
        <v>4.2000000000000003E-2</v>
      </c>
      <c r="L3" s="8">
        <v>4.2999999999999997E-2</v>
      </c>
      <c r="M3" s="8">
        <v>4.1000000000000002E-2</v>
      </c>
    </row>
    <row r="4" spans="1:13" x14ac:dyDescent="0.35">
      <c r="A4" s="7" t="s">
        <v>17</v>
      </c>
      <c r="B4" s="8">
        <v>9.9000000000000005E-2</v>
      </c>
      <c r="C4" s="8">
        <v>8.7999999999999995E-2</v>
      </c>
      <c r="D4" s="8">
        <v>8.8999999999999996E-2</v>
      </c>
      <c r="E4" s="8">
        <v>0.71299999999999997</v>
      </c>
      <c r="F4" s="8">
        <v>0.77500000000000002</v>
      </c>
      <c r="G4" s="8">
        <v>0.77400000000000002</v>
      </c>
      <c r="H4" s="8">
        <v>3.7999999999999999E-2</v>
      </c>
      <c r="I4" s="8">
        <v>3.9E-2</v>
      </c>
      <c r="J4" s="8">
        <v>3.9E-2</v>
      </c>
      <c r="K4" s="8">
        <v>4.2000000000000003E-2</v>
      </c>
      <c r="L4" s="8">
        <v>4.1000000000000002E-2</v>
      </c>
      <c r="M4" s="8">
        <v>4.2999999999999997E-2</v>
      </c>
    </row>
    <row r="5" spans="1:13" x14ac:dyDescent="0.35">
      <c r="A5" s="7" t="s">
        <v>18</v>
      </c>
      <c r="B5" s="8">
        <v>6.5000000000000002E-2</v>
      </c>
      <c r="C5" s="8">
        <v>7.3999999999999996E-2</v>
      </c>
      <c r="D5" s="8">
        <v>7.8E-2</v>
      </c>
      <c r="E5" s="8">
        <v>4.7E-2</v>
      </c>
      <c r="F5" s="8">
        <v>4.7E-2</v>
      </c>
      <c r="G5" s="8">
        <v>4.7E-2</v>
      </c>
      <c r="H5" s="8">
        <v>3.7999999999999999E-2</v>
      </c>
      <c r="I5" s="8">
        <v>3.7999999999999999E-2</v>
      </c>
      <c r="J5" s="8">
        <v>3.7999999999999999E-2</v>
      </c>
      <c r="K5" s="8">
        <v>3.7999999999999999E-2</v>
      </c>
      <c r="L5" s="8">
        <v>3.7999999999999999E-2</v>
      </c>
      <c r="M5" s="8">
        <v>3.7999999999999999E-2</v>
      </c>
    </row>
    <row r="6" spans="1:13" x14ac:dyDescent="0.35">
      <c r="A6" s="7" t="s">
        <v>19</v>
      </c>
      <c r="B6" s="8">
        <v>5.1999999999999998E-2</v>
      </c>
      <c r="C6" s="8">
        <v>5.0999999999999997E-2</v>
      </c>
      <c r="D6" s="8">
        <v>0.05</v>
      </c>
      <c r="E6" s="8">
        <v>4.7E-2</v>
      </c>
      <c r="F6" s="8">
        <v>4.7E-2</v>
      </c>
      <c r="G6" s="8">
        <v>4.7E-2</v>
      </c>
      <c r="H6" s="8">
        <v>3.6999999999999998E-2</v>
      </c>
      <c r="I6" s="8">
        <v>4.7E-2</v>
      </c>
      <c r="J6" s="8">
        <v>4.7E-2</v>
      </c>
      <c r="K6" s="8">
        <v>4.7E-2</v>
      </c>
      <c r="L6" s="8">
        <v>4.7E-2</v>
      </c>
      <c r="M6" s="8">
        <v>4.7E-2</v>
      </c>
    </row>
    <row r="7" spans="1:13" x14ac:dyDescent="0.35">
      <c r="A7" s="7" t="s">
        <v>20</v>
      </c>
      <c r="B7" s="8">
        <v>0.05</v>
      </c>
      <c r="C7" s="8">
        <v>4.9000000000000002E-2</v>
      </c>
      <c r="D7" s="8">
        <v>4.8000000000000001E-2</v>
      </c>
      <c r="E7" s="8">
        <v>4.7E-2</v>
      </c>
      <c r="F7" s="8">
        <v>4.7E-2</v>
      </c>
      <c r="G7" s="8">
        <v>4.7E-2</v>
      </c>
      <c r="H7" s="8">
        <v>3.6999999999999998E-2</v>
      </c>
      <c r="I7" s="8">
        <v>3.6999999999999998E-2</v>
      </c>
      <c r="J7" s="8">
        <v>3.6999999999999998E-2</v>
      </c>
      <c r="K7" s="8">
        <v>4.7E-2</v>
      </c>
      <c r="L7" s="8">
        <v>4.7E-2</v>
      </c>
      <c r="M7" s="8">
        <v>4.8000000000000001E-2</v>
      </c>
    </row>
    <row r="8" spans="1:13" x14ac:dyDescent="0.35">
      <c r="A8" s="7" t="s">
        <v>21</v>
      </c>
      <c r="B8" s="8">
        <v>4.2000000000000003E-2</v>
      </c>
      <c r="C8" s="8">
        <v>4.2999999999999997E-2</v>
      </c>
      <c r="D8" s="8">
        <v>4.2000000000000003E-2</v>
      </c>
      <c r="E8" s="8">
        <v>4.7E-2</v>
      </c>
      <c r="F8" s="8">
        <v>4.7E-2</v>
      </c>
      <c r="G8" s="8">
        <v>4.7E-2</v>
      </c>
      <c r="H8" s="8">
        <v>3.6999999999999998E-2</v>
      </c>
      <c r="I8" s="8">
        <v>3.7999999999999999E-2</v>
      </c>
      <c r="J8" s="8">
        <v>3.7999999999999999E-2</v>
      </c>
      <c r="K8" s="8">
        <v>4.7E-2</v>
      </c>
      <c r="L8" s="8">
        <v>4.7E-2</v>
      </c>
      <c r="M8" s="8">
        <v>4.7E-2</v>
      </c>
    </row>
    <row r="9" spans="1:13" x14ac:dyDescent="0.35">
      <c r="A9" s="7" t="s">
        <v>22</v>
      </c>
      <c r="B9" s="8">
        <v>3.7999999999999999E-2</v>
      </c>
      <c r="C9" s="8">
        <v>3.7999999999999999E-2</v>
      </c>
      <c r="D9" s="8">
        <v>3.6999999999999998E-2</v>
      </c>
      <c r="E9" s="8">
        <v>3.6999999999999998E-2</v>
      </c>
      <c r="F9" s="8">
        <v>3.6999999999999998E-2</v>
      </c>
      <c r="G9" s="8">
        <v>3.6999999999999998E-2</v>
      </c>
      <c r="H9" s="8">
        <v>3.7999999999999999E-2</v>
      </c>
      <c r="I9" s="8">
        <v>3.7999999999999999E-2</v>
      </c>
      <c r="J9" s="8">
        <v>4.4999999999999998E-2</v>
      </c>
      <c r="K9" s="8">
        <v>3.6999999999999998E-2</v>
      </c>
      <c r="L9" s="8">
        <v>3.7999999999999999E-2</v>
      </c>
      <c r="M9" s="8">
        <v>3.6999999999999998E-2</v>
      </c>
    </row>
    <row r="11" spans="1:13" x14ac:dyDescent="0.35">
      <c r="A11" s="6" t="s">
        <v>5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</row>
    <row r="12" spans="1:13" x14ac:dyDescent="0.35">
      <c r="A12" s="7" t="s">
        <v>15</v>
      </c>
      <c r="B12" s="8">
        <v>0.32100000000000001</v>
      </c>
      <c r="C12" s="8">
        <v>0.308</v>
      </c>
      <c r="D12" s="8">
        <v>0.314</v>
      </c>
      <c r="E12" s="8">
        <v>0.43</v>
      </c>
      <c r="F12" s="8">
        <v>0.40699999999999997</v>
      </c>
      <c r="G12" s="8">
        <v>0.39500000000000002</v>
      </c>
      <c r="H12" s="8">
        <v>0.16400000000000001</v>
      </c>
      <c r="I12" s="8">
        <v>0.19</v>
      </c>
      <c r="J12" s="8">
        <v>0.17399999999999999</v>
      </c>
      <c r="K12" s="8">
        <v>0.192</v>
      </c>
      <c r="L12" s="8">
        <v>0.29099999999999998</v>
      </c>
      <c r="M12" s="8">
        <v>0.215</v>
      </c>
    </row>
    <row r="13" spans="1:13" x14ac:dyDescent="0.35">
      <c r="A13" s="7" t="s">
        <v>16</v>
      </c>
      <c r="B13" s="8">
        <v>0.22500000000000001</v>
      </c>
      <c r="C13" s="8">
        <v>0.22700000000000001</v>
      </c>
      <c r="D13" s="8">
        <v>0.191</v>
      </c>
      <c r="E13" s="8">
        <v>0.66400000000000003</v>
      </c>
      <c r="F13" s="8">
        <v>0.75600000000000001</v>
      </c>
      <c r="G13" s="8">
        <v>0.70899999999999996</v>
      </c>
      <c r="H13" s="8">
        <v>0.113</v>
      </c>
      <c r="I13" s="8">
        <v>0.17</v>
      </c>
      <c r="J13" s="8">
        <v>0.13600000000000001</v>
      </c>
      <c r="K13" s="8">
        <v>0.312</v>
      </c>
      <c r="L13" s="8">
        <v>0.33900000000000002</v>
      </c>
      <c r="M13" s="8">
        <v>0.29699999999999999</v>
      </c>
    </row>
    <row r="14" spans="1:13" x14ac:dyDescent="0.35">
      <c r="A14" s="7" t="s">
        <v>17</v>
      </c>
      <c r="B14" s="8">
        <v>0.186</v>
      </c>
      <c r="C14" s="8">
        <v>0.17199999999999999</v>
      </c>
      <c r="D14" s="8">
        <v>0.17299999999999999</v>
      </c>
      <c r="E14" s="8">
        <v>0.91700000000000004</v>
      </c>
      <c r="F14" s="8">
        <v>1.177</v>
      </c>
      <c r="G14" s="8">
        <v>0.91800000000000004</v>
      </c>
      <c r="H14" s="8">
        <v>0.11899999999999999</v>
      </c>
      <c r="I14" s="8">
        <v>0.10199999999999999</v>
      </c>
      <c r="J14" s="8">
        <v>0.10299999999999999</v>
      </c>
      <c r="K14" s="8">
        <v>0.317</v>
      </c>
      <c r="L14" s="8">
        <v>0.42</v>
      </c>
      <c r="M14" s="8">
        <v>0.32500000000000001</v>
      </c>
    </row>
    <row r="15" spans="1:13" x14ac:dyDescent="0.35">
      <c r="A15" s="7" t="s">
        <v>18</v>
      </c>
      <c r="B15" s="8">
        <v>0.11700000000000001</v>
      </c>
      <c r="C15" s="8">
        <v>0.12</v>
      </c>
      <c r="D15" s="8">
        <v>0.122</v>
      </c>
      <c r="E15" s="8">
        <v>4.7E-2</v>
      </c>
      <c r="F15" s="8">
        <v>4.7E-2</v>
      </c>
      <c r="G15" s="8">
        <v>4.7E-2</v>
      </c>
      <c r="H15" s="8">
        <v>8.4000000000000005E-2</v>
      </c>
      <c r="I15" s="8">
        <v>7.9000000000000001E-2</v>
      </c>
      <c r="J15" s="8">
        <v>8.7999999999999995E-2</v>
      </c>
      <c r="K15" s="8">
        <v>6.0999999999999999E-2</v>
      </c>
      <c r="L15" s="8">
        <v>6.2E-2</v>
      </c>
      <c r="M15" s="8">
        <v>5.6000000000000001E-2</v>
      </c>
    </row>
    <row r="16" spans="1:13" x14ac:dyDescent="0.35">
      <c r="A16" s="7" t="s">
        <v>19</v>
      </c>
      <c r="B16" s="8">
        <v>7.8E-2</v>
      </c>
      <c r="C16" s="8">
        <v>8.2000000000000003E-2</v>
      </c>
      <c r="D16" s="8">
        <v>6.6000000000000003E-2</v>
      </c>
      <c r="E16" s="8">
        <v>4.7E-2</v>
      </c>
      <c r="F16" s="8">
        <v>5.2999999999999999E-2</v>
      </c>
      <c r="G16" s="8">
        <v>4.7E-2</v>
      </c>
      <c r="H16" s="8">
        <v>3.6999999999999998E-2</v>
      </c>
      <c r="I16" s="8">
        <v>0.52100000000000002</v>
      </c>
      <c r="J16" s="8">
        <v>0.56899999999999995</v>
      </c>
      <c r="K16" s="8">
        <v>4.7E-2</v>
      </c>
      <c r="L16" s="8">
        <v>4.7E-2</v>
      </c>
      <c r="M16" s="8">
        <v>4.7E-2</v>
      </c>
    </row>
    <row r="17" spans="1:13" x14ac:dyDescent="0.35">
      <c r="A17" s="7" t="s">
        <v>20</v>
      </c>
      <c r="B17" s="8">
        <v>6.8000000000000005E-2</v>
      </c>
      <c r="C17" s="8">
        <v>6.7000000000000004E-2</v>
      </c>
      <c r="D17" s="8">
        <v>4.8000000000000001E-2</v>
      </c>
      <c r="E17" s="8">
        <v>4.7E-2</v>
      </c>
      <c r="F17" s="8">
        <v>4.5999999999999999E-2</v>
      </c>
      <c r="G17" s="8">
        <v>4.7E-2</v>
      </c>
      <c r="H17" s="8">
        <v>5.3999999999999999E-2</v>
      </c>
      <c r="I17" s="8">
        <v>5.7000000000000002E-2</v>
      </c>
      <c r="J17" s="8">
        <v>5.1999999999999998E-2</v>
      </c>
      <c r="K17" s="8">
        <v>4.7E-2</v>
      </c>
      <c r="L17" s="8">
        <v>4.7E-2</v>
      </c>
      <c r="M17" s="8">
        <v>4.8000000000000001E-2</v>
      </c>
    </row>
    <row r="18" spans="1:13" x14ac:dyDescent="0.35">
      <c r="A18" s="7" t="s">
        <v>21</v>
      </c>
      <c r="B18" s="8">
        <v>4.9000000000000002E-2</v>
      </c>
      <c r="C18" s="8">
        <v>5.0999999999999997E-2</v>
      </c>
      <c r="D18" s="8">
        <v>5.0999999999999997E-2</v>
      </c>
      <c r="E18" s="8">
        <v>4.7E-2</v>
      </c>
      <c r="F18" s="8">
        <v>4.7E-2</v>
      </c>
      <c r="G18" s="8">
        <v>4.7E-2</v>
      </c>
      <c r="H18" s="8">
        <v>4.8000000000000001E-2</v>
      </c>
      <c r="I18" s="8">
        <v>4.5999999999999999E-2</v>
      </c>
      <c r="J18" s="8">
        <v>4.4999999999999998E-2</v>
      </c>
      <c r="K18" s="8">
        <v>4.7E-2</v>
      </c>
      <c r="L18" s="8">
        <v>4.8000000000000001E-2</v>
      </c>
      <c r="M18" s="8">
        <v>4.7E-2</v>
      </c>
    </row>
    <row r="19" spans="1:13" x14ac:dyDescent="0.35">
      <c r="A19" s="7" t="s">
        <v>22</v>
      </c>
      <c r="B19" s="8">
        <v>3.9E-2</v>
      </c>
      <c r="C19" s="8">
        <v>0.04</v>
      </c>
      <c r="D19" s="8">
        <v>3.9E-2</v>
      </c>
      <c r="E19" s="8">
        <v>3.7999999999999999E-2</v>
      </c>
      <c r="F19" s="8">
        <v>3.7999999999999999E-2</v>
      </c>
      <c r="G19" s="8">
        <v>3.6999999999999998E-2</v>
      </c>
      <c r="H19" s="8">
        <v>0.04</v>
      </c>
      <c r="I19" s="8">
        <v>3.9E-2</v>
      </c>
      <c r="J19" s="8">
        <v>4.4999999999999998E-2</v>
      </c>
      <c r="K19" s="8">
        <v>3.7999999999999999E-2</v>
      </c>
      <c r="L19" s="8">
        <v>3.7999999999999999E-2</v>
      </c>
      <c r="M19" s="8">
        <v>3.7999999999999999E-2</v>
      </c>
    </row>
    <row r="21" spans="1:13" x14ac:dyDescent="0.35">
      <c r="A21" s="12" t="s">
        <v>26</v>
      </c>
      <c r="B21" s="13">
        <v>1</v>
      </c>
      <c r="C21" s="13">
        <v>2</v>
      </c>
      <c r="D21" s="13">
        <v>3</v>
      </c>
      <c r="E21" s="13">
        <v>4</v>
      </c>
      <c r="F21" s="13">
        <v>5</v>
      </c>
      <c r="G21" s="13">
        <v>6</v>
      </c>
      <c r="H21" s="13">
        <v>7</v>
      </c>
      <c r="I21" s="13">
        <v>8</v>
      </c>
      <c r="J21" s="13">
        <v>9</v>
      </c>
      <c r="K21" s="13">
        <v>10</v>
      </c>
      <c r="L21" s="13">
        <v>11</v>
      </c>
      <c r="M21" s="13">
        <v>12</v>
      </c>
    </row>
    <row r="22" spans="1:13" x14ac:dyDescent="0.35">
      <c r="A22" s="13" t="s">
        <v>15</v>
      </c>
      <c r="B22" t="s">
        <v>27</v>
      </c>
      <c r="C22" t="s">
        <v>27</v>
      </c>
      <c r="D22" t="s">
        <v>27</v>
      </c>
      <c r="E22" t="s">
        <v>28</v>
      </c>
      <c r="F22" t="s">
        <v>28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</row>
    <row r="23" spans="1:13" x14ac:dyDescent="0.35">
      <c r="A23" s="13" t="s">
        <v>16</v>
      </c>
      <c r="B23" t="s">
        <v>31</v>
      </c>
      <c r="C23" t="s">
        <v>31</v>
      </c>
      <c r="D23" t="s">
        <v>31</v>
      </c>
      <c r="E23" t="s">
        <v>32</v>
      </c>
      <c r="F23" t="s">
        <v>32</v>
      </c>
      <c r="G23" t="s">
        <v>32</v>
      </c>
      <c r="H23" t="s">
        <v>33</v>
      </c>
      <c r="I23" t="s">
        <v>33</v>
      </c>
      <c r="J23" t="s">
        <v>33</v>
      </c>
      <c r="K23" t="s">
        <v>34</v>
      </c>
      <c r="L23" t="s">
        <v>34</v>
      </c>
      <c r="M23" t="s">
        <v>34</v>
      </c>
    </row>
    <row r="24" spans="1:13" x14ac:dyDescent="0.35">
      <c r="A24" s="13" t="s">
        <v>17</v>
      </c>
      <c r="B24" t="s">
        <v>35</v>
      </c>
      <c r="C24" t="s">
        <v>35</v>
      </c>
      <c r="D24" t="s">
        <v>35</v>
      </c>
      <c r="E24" t="s">
        <v>36</v>
      </c>
      <c r="F24" t="s">
        <v>36</v>
      </c>
      <c r="G24" t="s">
        <v>36</v>
      </c>
      <c r="H24" t="s">
        <v>37</v>
      </c>
      <c r="I24" t="s">
        <v>37</v>
      </c>
      <c r="J24" t="s">
        <v>37</v>
      </c>
      <c r="K24" t="s">
        <v>38</v>
      </c>
      <c r="L24" t="s">
        <v>38</v>
      </c>
      <c r="M24" t="s">
        <v>38</v>
      </c>
    </row>
    <row r="25" spans="1:13" x14ac:dyDescent="0.35">
      <c r="A25" s="13" t="s">
        <v>18</v>
      </c>
      <c r="B25" t="s">
        <v>39</v>
      </c>
      <c r="C25" t="s">
        <v>39</v>
      </c>
      <c r="D25" t="s">
        <v>39</v>
      </c>
      <c r="E25" t="s">
        <v>52</v>
      </c>
      <c r="F25" t="s">
        <v>52</v>
      </c>
      <c r="G25" t="s">
        <v>52</v>
      </c>
      <c r="H25" t="s">
        <v>40</v>
      </c>
      <c r="I25" t="s">
        <v>40</v>
      </c>
      <c r="J25" t="s">
        <v>40</v>
      </c>
      <c r="K25" t="s">
        <v>52</v>
      </c>
      <c r="L25" t="s">
        <v>52</v>
      </c>
      <c r="M25" t="s">
        <v>52</v>
      </c>
    </row>
    <row r="26" spans="1:13" x14ac:dyDescent="0.35">
      <c r="A26" s="13" t="s">
        <v>19</v>
      </c>
      <c r="B26" t="s">
        <v>41</v>
      </c>
      <c r="C26" t="s">
        <v>41</v>
      </c>
      <c r="D26" t="s">
        <v>41</v>
      </c>
      <c r="E26" t="s">
        <v>52</v>
      </c>
      <c r="F26" t="s">
        <v>52</v>
      </c>
      <c r="G26" t="s">
        <v>52</v>
      </c>
      <c r="H26" t="s">
        <v>42</v>
      </c>
      <c r="I26" t="s">
        <v>42</v>
      </c>
      <c r="J26" t="s">
        <v>42</v>
      </c>
      <c r="K26" t="s">
        <v>52</v>
      </c>
      <c r="L26" t="s">
        <v>52</v>
      </c>
      <c r="M26" t="s">
        <v>52</v>
      </c>
    </row>
    <row r="27" spans="1:13" x14ac:dyDescent="0.35">
      <c r="A27" s="13" t="s">
        <v>20</v>
      </c>
      <c r="B27" t="s">
        <v>43</v>
      </c>
      <c r="C27" t="s">
        <v>43</v>
      </c>
      <c r="D27" t="s">
        <v>43</v>
      </c>
      <c r="E27" t="s">
        <v>52</v>
      </c>
      <c r="F27" t="s">
        <v>52</v>
      </c>
      <c r="G27" t="s">
        <v>52</v>
      </c>
      <c r="H27" t="s">
        <v>44</v>
      </c>
      <c r="I27" t="s">
        <v>44</v>
      </c>
      <c r="J27" t="s">
        <v>44</v>
      </c>
      <c r="K27" t="s">
        <v>52</v>
      </c>
      <c r="L27" t="s">
        <v>52</v>
      </c>
      <c r="M27" t="s">
        <v>52</v>
      </c>
    </row>
    <row r="28" spans="1:13" x14ac:dyDescent="0.35">
      <c r="A28" s="13" t="s">
        <v>21</v>
      </c>
      <c r="B28" t="s">
        <v>45</v>
      </c>
      <c r="C28" t="s">
        <v>45</v>
      </c>
      <c r="D28" t="s">
        <v>45</v>
      </c>
      <c r="E28" t="s">
        <v>52</v>
      </c>
      <c r="F28" t="s">
        <v>52</v>
      </c>
      <c r="G28" t="s">
        <v>52</v>
      </c>
      <c r="H28" t="s">
        <v>46</v>
      </c>
      <c r="I28" t="s">
        <v>46</v>
      </c>
      <c r="J28" t="s">
        <v>46</v>
      </c>
      <c r="K28" t="s">
        <v>52</v>
      </c>
      <c r="L28" t="s">
        <v>52</v>
      </c>
      <c r="M28" t="s">
        <v>52</v>
      </c>
    </row>
    <row r="29" spans="1:13" x14ac:dyDescent="0.35">
      <c r="A29" s="13" t="s">
        <v>22</v>
      </c>
      <c r="B29" t="s">
        <v>47</v>
      </c>
      <c r="C29" t="s">
        <v>47</v>
      </c>
      <c r="D29" t="s">
        <v>47</v>
      </c>
      <c r="E29" t="s">
        <v>48</v>
      </c>
      <c r="F29" t="s">
        <v>48</v>
      </c>
      <c r="G29" t="s">
        <v>48</v>
      </c>
      <c r="H29" t="s">
        <v>49</v>
      </c>
      <c r="I29" t="s">
        <v>49</v>
      </c>
      <c r="J29" t="s">
        <v>49</v>
      </c>
      <c r="K29" t="s">
        <v>48</v>
      </c>
      <c r="L29" t="s">
        <v>48</v>
      </c>
      <c r="M29" t="s">
        <v>48</v>
      </c>
    </row>
    <row r="31" spans="1:13" x14ac:dyDescent="0.35">
      <c r="A31" s="12" t="s">
        <v>50</v>
      </c>
      <c r="B31" s="13">
        <v>1</v>
      </c>
      <c r="C31" s="13">
        <v>2</v>
      </c>
      <c r="D31" s="13">
        <v>3</v>
      </c>
      <c r="E31" s="13">
        <v>4</v>
      </c>
      <c r="F31" s="13">
        <v>5</v>
      </c>
      <c r="G31" s="13">
        <v>6</v>
      </c>
      <c r="H31" s="13">
        <v>7</v>
      </c>
      <c r="I31" s="13">
        <v>8</v>
      </c>
      <c r="J31" s="13">
        <v>9</v>
      </c>
      <c r="K31" s="13">
        <v>10</v>
      </c>
      <c r="L31" s="13">
        <v>11</v>
      </c>
      <c r="M31" s="13">
        <v>12</v>
      </c>
    </row>
    <row r="32" spans="1:13" x14ac:dyDescent="0.35">
      <c r="A32" s="13" t="s">
        <v>15</v>
      </c>
      <c r="B32" s="15">
        <v>1</v>
      </c>
      <c r="C32" s="15">
        <v>1</v>
      </c>
      <c r="D32" s="15">
        <v>1</v>
      </c>
      <c r="E32" s="15">
        <v>1</v>
      </c>
      <c r="F32" s="15">
        <v>1</v>
      </c>
      <c r="G32" s="15">
        <v>1</v>
      </c>
      <c r="H32" s="15">
        <v>1</v>
      </c>
      <c r="I32" s="15">
        <v>1</v>
      </c>
      <c r="J32" s="15">
        <v>1</v>
      </c>
      <c r="K32" s="15">
        <v>1</v>
      </c>
      <c r="L32" s="15">
        <v>1</v>
      </c>
      <c r="M32" s="15">
        <v>1</v>
      </c>
    </row>
    <row r="33" spans="1:13" x14ac:dyDescent="0.35">
      <c r="A33" s="13" t="s">
        <v>16</v>
      </c>
      <c r="B33" s="15">
        <v>1</v>
      </c>
      <c r="C33" s="15">
        <v>1</v>
      </c>
      <c r="D33" s="15">
        <v>1</v>
      </c>
      <c r="E33" s="15">
        <v>1</v>
      </c>
      <c r="F33" s="15">
        <v>1</v>
      </c>
      <c r="G33" s="15">
        <v>1</v>
      </c>
      <c r="H33" s="15">
        <v>1</v>
      </c>
      <c r="I33" s="15">
        <v>1</v>
      </c>
      <c r="J33" s="15">
        <v>1</v>
      </c>
      <c r="K33" s="15">
        <v>1</v>
      </c>
      <c r="L33" s="15">
        <v>1</v>
      </c>
      <c r="M33" s="15">
        <v>1</v>
      </c>
    </row>
    <row r="34" spans="1:13" x14ac:dyDescent="0.35">
      <c r="A34" s="13" t="s">
        <v>17</v>
      </c>
      <c r="B34" s="15">
        <v>1</v>
      </c>
      <c r="C34" s="15">
        <v>1</v>
      </c>
      <c r="D34" s="15">
        <v>1</v>
      </c>
      <c r="E34" s="15">
        <v>1</v>
      </c>
      <c r="F34" s="15">
        <v>1</v>
      </c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>
        <v>1</v>
      </c>
      <c r="M34" s="15">
        <v>1</v>
      </c>
    </row>
    <row r="35" spans="1:13" x14ac:dyDescent="0.35">
      <c r="A35" s="13" t="s">
        <v>18</v>
      </c>
      <c r="B35" s="15">
        <v>1</v>
      </c>
      <c r="C35" s="15">
        <v>1</v>
      </c>
      <c r="D35" s="15">
        <v>1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5">
        <v>1</v>
      </c>
    </row>
    <row r="36" spans="1:13" x14ac:dyDescent="0.35">
      <c r="A36" s="13" t="s">
        <v>19</v>
      </c>
      <c r="B36" s="15">
        <v>1</v>
      </c>
      <c r="C36" s="15">
        <v>1</v>
      </c>
      <c r="D36" s="15">
        <v>1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1</v>
      </c>
      <c r="M36" s="15">
        <v>1</v>
      </c>
    </row>
    <row r="37" spans="1:13" x14ac:dyDescent="0.35">
      <c r="A37" s="13" t="s">
        <v>20</v>
      </c>
      <c r="B37" s="15">
        <v>1</v>
      </c>
      <c r="C37" s="15">
        <v>1</v>
      </c>
      <c r="D37" s="15">
        <v>1</v>
      </c>
      <c r="E37" s="15">
        <v>1</v>
      </c>
      <c r="F37" s="15">
        <v>1</v>
      </c>
      <c r="G37" s="15">
        <v>1</v>
      </c>
      <c r="H37" s="15">
        <v>1</v>
      </c>
      <c r="I37" s="15">
        <v>1</v>
      </c>
      <c r="J37" s="15">
        <v>1</v>
      </c>
      <c r="K37" s="15">
        <v>1</v>
      </c>
      <c r="L37" s="15">
        <v>1</v>
      </c>
      <c r="M37" s="15">
        <v>1</v>
      </c>
    </row>
    <row r="38" spans="1:13" x14ac:dyDescent="0.35">
      <c r="A38" s="13" t="s">
        <v>21</v>
      </c>
      <c r="B38" s="15">
        <v>1</v>
      </c>
      <c r="C38" s="15">
        <v>1</v>
      </c>
      <c r="D38" s="15">
        <v>1</v>
      </c>
      <c r="E38" s="15">
        <v>1</v>
      </c>
      <c r="F38" s="15">
        <v>1</v>
      </c>
      <c r="G38" s="15">
        <v>1</v>
      </c>
      <c r="H38" s="15">
        <v>1</v>
      </c>
      <c r="I38" s="15">
        <v>1</v>
      </c>
      <c r="J38" s="15">
        <v>1</v>
      </c>
      <c r="K38" s="15">
        <v>1</v>
      </c>
      <c r="L38" s="15">
        <v>1</v>
      </c>
      <c r="M38" s="15">
        <v>1</v>
      </c>
    </row>
    <row r="39" spans="1:13" x14ac:dyDescent="0.35">
      <c r="A39" s="13" t="s">
        <v>22</v>
      </c>
      <c r="B39" s="15">
        <v>1</v>
      </c>
      <c r="C39" s="15">
        <v>1</v>
      </c>
      <c r="D39" s="15">
        <v>1</v>
      </c>
      <c r="E39" s="15">
        <v>1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5">
        <v>1</v>
      </c>
    </row>
    <row r="41" spans="1:13" x14ac:dyDescent="0.35">
      <c r="A41" s="12" t="s">
        <v>51</v>
      </c>
      <c r="B41" s="13">
        <v>1</v>
      </c>
      <c r="C41" s="13">
        <v>2</v>
      </c>
      <c r="D41" s="13">
        <v>3</v>
      </c>
      <c r="E41" s="13">
        <v>4</v>
      </c>
      <c r="F41" s="13">
        <v>5</v>
      </c>
      <c r="G41" s="13">
        <v>6</v>
      </c>
      <c r="H41" s="13">
        <v>7</v>
      </c>
      <c r="I41" s="13">
        <v>8</v>
      </c>
      <c r="J41" s="13">
        <v>9</v>
      </c>
      <c r="K41" s="13">
        <v>10</v>
      </c>
      <c r="L41" s="13">
        <v>11</v>
      </c>
      <c r="M41" s="13">
        <v>12</v>
      </c>
    </row>
    <row r="42" spans="1:13" x14ac:dyDescent="0.35">
      <c r="A42" s="13" t="s">
        <v>15</v>
      </c>
      <c r="B42" s="14">
        <v>60</v>
      </c>
      <c r="C42" s="14">
        <v>60</v>
      </c>
      <c r="D42" s="14">
        <v>60</v>
      </c>
      <c r="E42" s="15">
        <v>100</v>
      </c>
      <c r="F42" s="15">
        <v>100</v>
      </c>
      <c r="G42" s="15">
        <v>100</v>
      </c>
      <c r="H42" s="19">
        <v>60</v>
      </c>
      <c r="I42" s="19">
        <v>60</v>
      </c>
      <c r="J42" s="19">
        <v>60</v>
      </c>
      <c r="K42" s="15">
        <v>100</v>
      </c>
      <c r="L42" s="15">
        <v>100</v>
      </c>
      <c r="M42" s="15">
        <v>100</v>
      </c>
    </row>
    <row r="43" spans="1:13" x14ac:dyDescent="0.35">
      <c r="A43" s="13" t="s">
        <v>16</v>
      </c>
      <c r="B43" s="16">
        <v>45</v>
      </c>
      <c r="C43" s="16">
        <v>45</v>
      </c>
      <c r="D43" s="16">
        <v>45</v>
      </c>
      <c r="E43" s="15">
        <v>250</v>
      </c>
      <c r="F43" s="15">
        <v>250</v>
      </c>
      <c r="G43" s="17">
        <v>250</v>
      </c>
      <c r="H43" s="21">
        <v>45</v>
      </c>
      <c r="I43" s="21">
        <v>45</v>
      </c>
      <c r="J43" s="21">
        <v>45</v>
      </c>
      <c r="K43" s="18">
        <v>250</v>
      </c>
      <c r="L43" s="15">
        <v>250</v>
      </c>
      <c r="M43" s="15">
        <v>250</v>
      </c>
    </row>
    <row r="44" spans="1:13" x14ac:dyDescent="0.35">
      <c r="A44" s="13" t="s">
        <v>17</v>
      </c>
      <c r="B44" s="14">
        <v>30</v>
      </c>
      <c r="C44" s="14">
        <v>30</v>
      </c>
      <c r="D44" s="14">
        <v>30</v>
      </c>
      <c r="E44" s="15">
        <v>500</v>
      </c>
      <c r="F44" s="15">
        <v>500</v>
      </c>
      <c r="G44" s="15">
        <v>500</v>
      </c>
      <c r="H44" s="20">
        <v>30</v>
      </c>
      <c r="I44" s="20">
        <v>30</v>
      </c>
      <c r="J44" s="20">
        <v>30</v>
      </c>
      <c r="K44" s="15">
        <v>500</v>
      </c>
      <c r="L44" s="15">
        <v>500</v>
      </c>
      <c r="M44" s="15">
        <v>500</v>
      </c>
    </row>
    <row r="45" spans="1:13" x14ac:dyDescent="0.35">
      <c r="A45" s="13" t="s">
        <v>18</v>
      </c>
      <c r="B45" s="14">
        <v>18</v>
      </c>
      <c r="C45" s="14">
        <v>18</v>
      </c>
      <c r="D45" s="14">
        <v>18</v>
      </c>
      <c r="E45" s="15"/>
      <c r="F45" s="15"/>
      <c r="G45" s="15"/>
      <c r="H45" s="14">
        <v>18</v>
      </c>
      <c r="I45" s="14">
        <v>18</v>
      </c>
      <c r="J45" s="14">
        <v>18</v>
      </c>
      <c r="K45" s="14"/>
      <c r="L45" s="14"/>
      <c r="M45" s="14"/>
    </row>
    <row r="46" spans="1:13" x14ac:dyDescent="0.35">
      <c r="A46" s="13" t="s">
        <v>19</v>
      </c>
      <c r="B46" s="14">
        <v>9</v>
      </c>
      <c r="C46" s="14">
        <v>9</v>
      </c>
      <c r="D46" s="14">
        <v>9</v>
      </c>
      <c r="E46" s="15"/>
      <c r="F46" s="15"/>
      <c r="G46" s="15"/>
      <c r="H46" s="14">
        <v>9</v>
      </c>
      <c r="I46" s="14">
        <v>9</v>
      </c>
      <c r="J46" s="14">
        <v>9</v>
      </c>
      <c r="K46" s="15"/>
      <c r="L46" s="15"/>
      <c r="M46" s="15"/>
    </row>
    <row r="47" spans="1:13" x14ac:dyDescent="0.35">
      <c r="A47" s="13" t="s">
        <v>20</v>
      </c>
      <c r="B47" s="14">
        <v>6</v>
      </c>
      <c r="C47" s="14">
        <v>6</v>
      </c>
      <c r="D47" s="14">
        <v>6</v>
      </c>
      <c r="E47" s="15"/>
      <c r="F47" s="15"/>
      <c r="G47" s="15"/>
      <c r="H47" s="14">
        <v>6</v>
      </c>
      <c r="I47" s="14">
        <v>6</v>
      </c>
      <c r="J47" s="14">
        <v>6</v>
      </c>
      <c r="K47" s="15"/>
      <c r="L47" s="15"/>
      <c r="M47" s="15"/>
    </row>
    <row r="48" spans="1:13" x14ac:dyDescent="0.35">
      <c r="A48" s="13" t="s">
        <v>21</v>
      </c>
      <c r="B48" s="14">
        <v>3</v>
      </c>
      <c r="C48" s="14">
        <v>3</v>
      </c>
      <c r="D48" s="14">
        <v>3</v>
      </c>
      <c r="E48" s="15"/>
      <c r="F48" s="15"/>
      <c r="G48" s="15"/>
      <c r="H48" s="14">
        <v>3</v>
      </c>
      <c r="I48" s="14">
        <v>3</v>
      </c>
      <c r="J48" s="14">
        <v>3</v>
      </c>
      <c r="K48" s="15"/>
      <c r="L48" s="15"/>
      <c r="M48" s="15"/>
    </row>
    <row r="49" spans="1:13" ht="17.25" customHeight="1" x14ac:dyDescent="0.35">
      <c r="A49" s="13" t="s">
        <v>22</v>
      </c>
      <c r="B49" s="14">
        <v>0.6</v>
      </c>
      <c r="C49" s="14">
        <v>0.6</v>
      </c>
      <c r="D49" s="14">
        <v>0.6</v>
      </c>
      <c r="E49" s="15">
        <v>0</v>
      </c>
      <c r="F49" s="15">
        <v>0</v>
      </c>
      <c r="G49" s="15">
        <v>0</v>
      </c>
      <c r="H49" s="14">
        <v>0.6</v>
      </c>
      <c r="I49" s="14">
        <v>0.6</v>
      </c>
      <c r="J49" s="14">
        <v>0.6</v>
      </c>
      <c r="K49" s="15">
        <v>0</v>
      </c>
      <c r="L49" s="15">
        <v>0</v>
      </c>
      <c r="M49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5507-FECD-44D6-9FA5-00F8D89D1F0B}">
  <dimension ref="A1:V39"/>
  <sheetViews>
    <sheetView workbookViewId="0">
      <selection activeCell="H22" sqref="H22:H28"/>
    </sheetView>
  </sheetViews>
  <sheetFormatPr defaultRowHeight="14.5" x14ac:dyDescent="0.35"/>
  <cols>
    <col min="1" max="1" width="11.26953125" customWidth="1"/>
    <col min="2" max="2" width="14.26953125" bestFit="1" customWidth="1"/>
    <col min="5" max="5" width="15.90625" bestFit="1" customWidth="1"/>
    <col min="7" max="7" width="11.1796875" customWidth="1"/>
    <col min="8" max="8" width="20.08984375" bestFit="1" customWidth="1"/>
    <col min="9" max="9" width="11.453125" customWidth="1"/>
    <col min="10" max="10" width="11.81640625" customWidth="1"/>
  </cols>
  <sheetData>
    <row r="1" spans="1:22" x14ac:dyDescent="0.35">
      <c r="A1" s="6" t="s">
        <v>4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P1" t="s">
        <v>73</v>
      </c>
      <c r="T1" t="s">
        <v>79</v>
      </c>
      <c r="U1" t="s">
        <v>80</v>
      </c>
      <c r="V1" t="s">
        <v>81</v>
      </c>
    </row>
    <row r="2" spans="1:22" x14ac:dyDescent="0.35">
      <c r="A2" s="7" t="s">
        <v>15</v>
      </c>
      <c r="B2">
        <v>0.66</v>
      </c>
      <c r="C2">
        <v>0.745</v>
      </c>
      <c r="D2">
        <v>0.98</v>
      </c>
      <c r="E2">
        <v>0.04</v>
      </c>
      <c r="F2">
        <v>0.04</v>
      </c>
      <c r="G2">
        <v>4.1000000000000002E-2</v>
      </c>
      <c r="H2">
        <v>4.1000000000000002E-2</v>
      </c>
      <c r="I2">
        <v>3.9E-2</v>
      </c>
      <c r="J2">
        <v>3.9E-2</v>
      </c>
      <c r="K2">
        <v>4.7E-2</v>
      </c>
      <c r="L2">
        <v>4.7E-2</v>
      </c>
      <c r="M2">
        <v>4.7E-2</v>
      </c>
      <c r="P2" t="s">
        <v>74</v>
      </c>
      <c r="Q2" t="s">
        <v>75</v>
      </c>
      <c r="T2">
        <f>MIN(B6:D9,E2:G9,H2:K8)</f>
        <v>3.9E-2</v>
      </c>
      <c r="U2">
        <f>MAX(B6:D9,E2:G9,H2:K8)</f>
        <v>0.27</v>
      </c>
      <c r="V2">
        <f>AVERAGE(B6:D9,E2:G9,H2:K8)</f>
        <v>6.0906250000000016E-2</v>
      </c>
    </row>
    <row r="3" spans="1:22" x14ac:dyDescent="0.35">
      <c r="A3" s="7" t="s">
        <v>16</v>
      </c>
      <c r="B3">
        <v>3.7999999999999999E-2</v>
      </c>
      <c r="C3">
        <v>3.9E-2</v>
      </c>
      <c r="D3">
        <v>3.7999999999999999E-2</v>
      </c>
      <c r="E3">
        <v>4.2000000000000003E-2</v>
      </c>
      <c r="F3">
        <v>0.04</v>
      </c>
      <c r="G3">
        <v>0.04</v>
      </c>
      <c r="H3">
        <v>0.16200000000000001</v>
      </c>
      <c r="I3">
        <v>0.154</v>
      </c>
      <c r="J3">
        <v>0.14799999999999999</v>
      </c>
      <c r="K3">
        <v>0.05</v>
      </c>
      <c r="L3">
        <v>4.7E-2</v>
      </c>
      <c r="M3">
        <v>4.7E-2</v>
      </c>
      <c r="O3" t="s">
        <v>76</v>
      </c>
      <c r="P3">
        <f>AVERAGE(H4:J4)</f>
        <v>6.7666666666666667E-2</v>
      </c>
      <c r="Q3">
        <f>(P3-0.039)/0.0016</f>
        <v>17.916666666666664</v>
      </c>
      <c r="R3">
        <f>(ABS(Q3-Q4))/(AVERAGE(Q3:Q4))*100</f>
        <v>4.7619047619047148</v>
      </c>
    </row>
    <row r="4" spans="1:22" x14ac:dyDescent="0.35">
      <c r="A4" s="7" t="s">
        <v>17</v>
      </c>
      <c r="B4">
        <v>3.6999999999999998E-2</v>
      </c>
      <c r="C4">
        <v>3.6999999999999998E-2</v>
      </c>
      <c r="D4">
        <v>3.7999999999999999E-2</v>
      </c>
      <c r="E4">
        <v>4.7E-2</v>
      </c>
      <c r="F4">
        <v>4.7E-2</v>
      </c>
      <c r="G4">
        <v>4.8000000000000001E-2</v>
      </c>
      <c r="H4">
        <v>6.9000000000000006E-2</v>
      </c>
      <c r="I4">
        <v>6.7000000000000004E-2</v>
      </c>
      <c r="J4">
        <v>6.7000000000000004E-2</v>
      </c>
      <c r="K4">
        <v>4.7E-2</v>
      </c>
      <c r="L4">
        <v>4.7E-2</v>
      </c>
      <c r="M4">
        <v>4.8000000000000001E-2</v>
      </c>
      <c r="P4">
        <f>AVERAGE(H5:J5)</f>
        <v>6.6333333333333341E-2</v>
      </c>
      <c r="Q4">
        <f>(P4-0.039)/0.0016</f>
        <v>17.083333333333339</v>
      </c>
    </row>
    <row r="5" spans="1:22" x14ac:dyDescent="0.35">
      <c r="A5" s="7" t="s">
        <v>18</v>
      </c>
      <c r="B5">
        <v>3.9E-2</v>
      </c>
      <c r="C5">
        <v>3.9E-2</v>
      </c>
      <c r="D5">
        <v>3.9E-2</v>
      </c>
      <c r="E5">
        <v>4.5999999999999999E-2</v>
      </c>
      <c r="F5">
        <v>4.4999999999999998E-2</v>
      </c>
      <c r="G5">
        <v>4.5999999999999999E-2</v>
      </c>
      <c r="H5">
        <v>6.5000000000000002E-2</v>
      </c>
      <c r="I5">
        <v>6.7000000000000004E-2</v>
      </c>
      <c r="J5">
        <v>6.7000000000000004E-2</v>
      </c>
      <c r="K5">
        <v>4.7E-2</v>
      </c>
      <c r="L5">
        <v>4.7E-2</v>
      </c>
      <c r="M5">
        <v>4.7E-2</v>
      </c>
    </row>
    <row r="6" spans="1:22" x14ac:dyDescent="0.35">
      <c r="A6" s="7" t="s">
        <v>19</v>
      </c>
      <c r="B6">
        <v>4.2999999999999997E-2</v>
      </c>
      <c r="C6">
        <v>4.2000000000000003E-2</v>
      </c>
      <c r="D6">
        <v>4.2000000000000003E-2</v>
      </c>
      <c r="E6">
        <v>4.3999999999999997E-2</v>
      </c>
      <c r="F6">
        <v>4.3999999999999997E-2</v>
      </c>
      <c r="G6">
        <v>4.2999999999999997E-2</v>
      </c>
      <c r="H6">
        <v>5.6000000000000001E-2</v>
      </c>
      <c r="I6">
        <v>5.5E-2</v>
      </c>
      <c r="J6">
        <v>5.6000000000000001E-2</v>
      </c>
      <c r="K6">
        <v>4.7E-2</v>
      </c>
      <c r="L6">
        <v>4.7E-2</v>
      </c>
      <c r="M6">
        <v>4.7E-2</v>
      </c>
      <c r="O6" t="s">
        <v>77</v>
      </c>
      <c r="P6">
        <f>AVERAGE(H14:J14)</f>
        <v>0.16333333333333333</v>
      </c>
      <c r="Q6">
        <f>((P6-0.038)/0.0043)-Q3</f>
        <v>11.230620155038761</v>
      </c>
      <c r="R6">
        <f>((ABS(Q6-Q7))/AVERAGE(Q6:Q7))*100</f>
        <v>25.048543689320507</v>
      </c>
    </row>
    <row r="7" spans="1:22" x14ac:dyDescent="0.35">
      <c r="A7" s="7" t="s">
        <v>20</v>
      </c>
      <c r="B7">
        <v>4.3999999999999997E-2</v>
      </c>
      <c r="C7">
        <v>4.2999999999999997E-2</v>
      </c>
      <c r="D7">
        <v>4.2000000000000003E-2</v>
      </c>
      <c r="E7">
        <v>0.04</v>
      </c>
      <c r="F7">
        <v>4.1000000000000002E-2</v>
      </c>
      <c r="G7">
        <v>0.04</v>
      </c>
      <c r="H7" s="22">
        <v>0.27</v>
      </c>
      <c r="I7">
        <v>0.16700000000000001</v>
      </c>
      <c r="J7">
        <v>0.16500000000000001</v>
      </c>
      <c r="K7">
        <v>4.7E-2</v>
      </c>
      <c r="L7">
        <v>4.7E-2</v>
      </c>
      <c r="M7">
        <v>4.8000000000000001E-2</v>
      </c>
      <c r="P7">
        <f>AVERAGE(H15:J15)</f>
        <v>0.14899999999999999</v>
      </c>
      <c r="Q7">
        <f>((P7-0.038)/0.0043)-Q4</f>
        <v>8.7306201550387499</v>
      </c>
    </row>
    <row r="8" spans="1:22" x14ac:dyDescent="0.35">
      <c r="A8" s="7" t="s">
        <v>21</v>
      </c>
      <c r="B8">
        <v>0.08</v>
      </c>
      <c r="C8">
        <v>0.08</v>
      </c>
      <c r="D8">
        <v>7.6999999999999999E-2</v>
      </c>
      <c r="E8">
        <v>5.2999999999999999E-2</v>
      </c>
      <c r="F8">
        <v>5.1999999999999998E-2</v>
      </c>
      <c r="G8">
        <v>5.2999999999999999E-2</v>
      </c>
      <c r="H8">
        <v>4.4999999999999998E-2</v>
      </c>
      <c r="I8">
        <v>4.3999999999999997E-2</v>
      </c>
      <c r="J8">
        <v>4.4999999999999998E-2</v>
      </c>
      <c r="K8">
        <v>4.7E-2</v>
      </c>
      <c r="L8">
        <v>4.7E-2</v>
      </c>
      <c r="M8">
        <v>4.7E-2</v>
      </c>
    </row>
    <row r="9" spans="1:22" x14ac:dyDescent="0.35">
      <c r="A9" s="7" t="s">
        <v>22</v>
      </c>
      <c r="B9">
        <v>4.5999999999999999E-2</v>
      </c>
      <c r="C9">
        <v>4.4999999999999998E-2</v>
      </c>
      <c r="D9">
        <v>4.4999999999999998E-2</v>
      </c>
      <c r="E9">
        <v>3.9E-2</v>
      </c>
      <c r="F9">
        <v>3.9E-2</v>
      </c>
      <c r="G9">
        <v>3.9E-2</v>
      </c>
      <c r="H9">
        <v>4.7E-2</v>
      </c>
      <c r="I9">
        <v>4.7E-2</v>
      </c>
      <c r="J9">
        <v>4.8000000000000001E-2</v>
      </c>
      <c r="K9">
        <v>3.6999999999999998E-2</v>
      </c>
      <c r="L9">
        <v>3.6999999999999998E-2</v>
      </c>
      <c r="M9">
        <v>3.6999999999999998E-2</v>
      </c>
    </row>
    <row r="11" spans="1:22" x14ac:dyDescent="0.35">
      <c r="A11" s="6" t="s">
        <v>5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  <c r="P11" t="s">
        <v>78</v>
      </c>
      <c r="Q11" t="s">
        <v>75</v>
      </c>
    </row>
    <row r="12" spans="1:22" x14ac:dyDescent="0.35">
      <c r="A12" s="7" t="s">
        <v>15</v>
      </c>
      <c r="B12">
        <v>0.87</v>
      </c>
      <c r="C12">
        <v>0.89200000000000002</v>
      </c>
      <c r="D12">
        <v>1.1479999999999999</v>
      </c>
      <c r="E12">
        <v>5.0999999999999997E-2</v>
      </c>
      <c r="F12">
        <v>4.7E-2</v>
      </c>
      <c r="G12">
        <v>4.8000000000000001E-2</v>
      </c>
      <c r="H12">
        <v>4.3999999999999997E-2</v>
      </c>
      <c r="I12">
        <v>4.3999999999999997E-2</v>
      </c>
      <c r="J12">
        <v>4.2999999999999997E-2</v>
      </c>
      <c r="K12">
        <v>4.7E-2</v>
      </c>
      <c r="L12">
        <v>4.9000000000000002E-2</v>
      </c>
      <c r="M12">
        <v>4.7E-2</v>
      </c>
      <c r="P12">
        <f>AVERAGE(H6:J6)</f>
        <v>5.566666666666667E-2</v>
      </c>
      <c r="Q12">
        <f>(P12-0.039)/0.0016</f>
        <v>10.416666666666668</v>
      </c>
    </row>
    <row r="13" spans="1:22" x14ac:dyDescent="0.35">
      <c r="A13" s="7" t="s">
        <v>16</v>
      </c>
      <c r="B13">
        <v>4.1000000000000002E-2</v>
      </c>
      <c r="C13">
        <v>4.1000000000000002E-2</v>
      </c>
      <c r="D13">
        <v>0.04</v>
      </c>
      <c r="E13">
        <v>4.8000000000000001E-2</v>
      </c>
      <c r="F13">
        <v>4.3999999999999997E-2</v>
      </c>
      <c r="G13">
        <v>4.4999999999999998E-2</v>
      </c>
      <c r="H13">
        <v>0.186</v>
      </c>
      <c r="I13">
        <v>0.18</v>
      </c>
      <c r="J13">
        <v>0.189</v>
      </c>
      <c r="K13">
        <v>5.1999999999999998E-2</v>
      </c>
      <c r="L13">
        <v>4.8000000000000001E-2</v>
      </c>
      <c r="M13">
        <v>4.7E-2</v>
      </c>
      <c r="P13">
        <f>AVERAGE(H7:J7)</f>
        <v>0.20066666666666669</v>
      </c>
      <c r="Q13">
        <f>(P13-0.039)/0.0016</f>
        <v>101.04166666666667</v>
      </c>
    </row>
    <row r="14" spans="1:22" x14ac:dyDescent="0.35">
      <c r="A14" s="7" t="s">
        <v>17</v>
      </c>
      <c r="B14">
        <v>3.7999999999999999E-2</v>
      </c>
      <c r="C14">
        <v>7.1999999999999995E-2</v>
      </c>
      <c r="D14">
        <v>3.7999999999999999E-2</v>
      </c>
      <c r="E14">
        <v>0.05</v>
      </c>
      <c r="F14">
        <v>4.8000000000000001E-2</v>
      </c>
      <c r="G14">
        <v>4.9000000000000002E-2</v>
      </c>
      <c r="H14">
        <v>0.13300000000000001</v>
      </c>
      <c r="I14">
        <v>0.188</v>
      </c>
      <c r="J14">
        <v>0.16900000000000001</v>
      </c>
      <c r="K14">
        <v>4.7E-2</v>
      </c>
      <c r="L14">
        <v>4.7E-2</v>
      </c>
      <c r="M14">
        <v>4.8000000000000001E-2</v>
      </c>
    </row>
    <row r="15" spans="1:22" x14ac:dyDescent="0.35">
      <c r="A15" s="7" t="s">
        <v>18</v>
      </c>
      <c r="B15">
        <v>0.18</v>
      </c>
      <c r="C15">
        <v>0.18</v>
      </c>
      <c r="D15">
        <v>0.20499999999999999</v>
      </c>
      <c r="E15">
        <v>4.8000000000000001E-2</v>
      </c>
      <c r="F15">
        <v>4.5999999999999999E-2</v>
      </c>
      <c r="G15">
        <v>4.7E-2</v>
      </c>
      <c r="H15">
        <v>0.14799999999999999</v>
      </c>
      <c r="I15">
        <v>0.151</v>
      </c>
      <c r="J15">
        <v>0.14799999999999999</v>
      </c>
      <c r="K15">
        <v>4.7E-2</v>
      </c>
      <c r="L15">
        <v>4.7E-2</v>
      </c>
      <c r="M15">
        <v>4.7E-2</v>
      </c>
    </row>
    <row r="16" spans="1:22" x14ac:dyDescent="0.35">
      <c r="A16" s="7" t="s">
        <v>19</v>
      </c>
      <c r="B16">
        <v>4.3999999999999997E-2</v>
      </c>
      <c r="C16">
        <v>4.2999999999999997E-2</v>
      </c>
      <c r="D16">
        <v>4.3999999999999997E-2</v>
      </c>
      <c r="E16">
        <v>4.5999999999999999E-2</v>
      </c>
      <c r="F16">
        <v>4.5999999999999999E-2</v>
      </c>
      <c r="G16">
        <v>4.4999999999999998E-2</v>
      </c>
      <c r="H16">
        <v>0.14399999999999999</v>
      </c>
      <c r="I16">
        <v>0.129</v>
      </c>
      <c r="J16">
        <v>0.13300000000000001</v>
      </c>
      <c r="K16">
        <v>4.7E-2</v>
      </c>
      <c r="L16">
        <v>4.7E-2</v>
      </c>
      <c r="M16">
        <v>4.7E-2</v>
      </c>
    </row>
    <row r="17" spans="1:13" x14ac:dyDescent="0.35">
      <c r="A17" s="7" t="s">
        <v>20</v>
      </c>
      <c r="B17">
        <v>5.6000000000000001E-2</v>
      </c>
      <c r="C17">
        <v>6.2E-2</v>
      </c>
      <c r="D17">
        <v>5.1999999999999998E-2</v>
      </c>
      <c r="E17">
        <v>4.3999999999999997E-2</v>
      </c>
      <c r="F17">
        <v>4.8000000000000001E-2</v>
      </c>
      <c r="G17">
        <v>4.9000000000000002E-2</v>
      </c>
      <c r="H17">
        <v>0.35399999999999998</v>
      </c>
      <c r="I17">
        <v>0.25</v>
      </c>
      <c r="J17">
        <v>0.23100000000000001</v>
      </c>
      <c r="K17">
        <v>4.7E-2</v>
      </c>
      <c r="L17">
        <v>4.7E-2</v>
      </c>
      <c r="M17">
        <v>4.8000000000000001E-2</v>
      </c>
    </row>
    <row r="18" spans="1:13" x14ac:dyDescent="0.35">
      <c r="A18" s="7" t="s">
        <v>21</v>
      </c>
      <c r="B18">
        <v>8.4000000000000005E-2</v>
      </c>
      <c r="C18">
        <v>0.08</v>
      </c>
      <c r="D18">
        <v>7.8E-2</v>
      </c>
      <c r="E18">
        <v>6.0999999999999999E-2</v>
      </c>
      <c r="F18">
        <v>6.2E-2</v>
      </c>
      <c r="G18">
        <v>6.2E-2</v>
      </c>
      <c r="H18">
        <v>8.2000000000000003E-2</v>
      </c>
      <c r="I18">
        <v>7.9000000000000001E-2</v>
      </c>
      <c r="J18">
        <v>7.2999999999999995E-2</v>
      </c>
      <c r="K18">
        <v>4.7E-2</v>
      </c>
      <c r="L18">
        <v>4.7E-2</v>
      </c>
      <c r="M18">
        <v>4.7E-2</v>
      </c>
    </row>
    <row r="19" spans="1:13" x14ac:dyDescent="0.35">
      <c r="A19" s="7" t="s">
        <v>22</v>
      </c>
      <c r="B19">
        <v>8.7999999999999995E-2</v>
      </c>
      <c r="C19">
        <v>8.5000000000000006E-2</v>
      </c>
      <c r="D19">
        <v>7.5999999999999998E-2</v>
      </c>
      <c r="E19">
        <v>4.7E-2</v>
      </c>
      <c r="F19">
        <v>4.4999999999999998E-2</v>
      </c>
      <c r="G19">
        <v>4.4999999999999998E-2</v>
      </c>
      <c r="H19">
        <v>4.7E-2</v>
      </c>
      <c r="I19">
        <v>4.7E-2</v>
      </c>
      <c r="J19">
        <v>4.8000000000000001E-2</v>
      </c>
      <c r="K19">
        <v>3.6999999999999998E-2</v>
      </c>
      <c r="L19">
        <v>3.6999999999999998E-2</v>
      </c>
      <c r="M19">
        <v>3.6999999999999998E-2</v>
      </c>
    </row>
    <row r="21" spans="1:13" x14ac:dyDescent="0.35">
      <c r="A21" s="12" t="s">
        <v>26</v>
      </c>
      <c r="B21" s="13">
        <v>1</v>
      </c>
      <c r="C21" s="13">
        <v>2</v>
      </c>
      <c r="D21" s="13">
        <v>3</v>
      </c>
      <c r="E21" s="13">
        <v>4</v>
      </c>
      <c r="F21" s="13">
        <v>5</v>
      </c>
      <c r="G21" s="13">
        <v>6</v>
      </c>
      <c r="H21" s="13">
        <v>7</v>
      </c>
      <c r="I21" s="13">
        <v>8</v>
      </c>
      <c r="J21" s="13">
        <v>9</v>
      </c>
      <c r="K21" s="13">
        <v>10</v>
      </c>
      <c r="L21" s="13">
        <v>11</v>
      </c>
      <c r="M21" s="13">
        <v>12</v>
      </c>
    </row>
    <row r="22" spans="1:13" x14ac:dyDescent="0.35">
      <c r="A22" s="13" t="s">
        <v>15</v>
      </c>
      <c r="B22" t="s">
        <v>53</v>
      </c>
      <c r="C22" t="s">
        <v>53</v>
      </c>
      <c r="D22" t="s">
        <v>53</v>
      </c>
      <c r="E22" t="s">
        <v>54</v>
      </c>
      <c r="F22" t="s">
        <v>54</v>
      </c>
      <c r="G22" t="s">
        <v>54</v>
      </c>
      <c r="H22" t="s">
        <v>55</v>
      </c>
      <c r="I22" t="s">
        <v>55</v>
      </c>
      <c r="J22" t="s">
        <v>55</v>
      </c>
      <c r="K22" t="s">
        <v>52</v>
      </c>
      <c r="L22" t="s">
        <v>52</v>
      </c>
      <c r="M22" t="s">
        <v>52</v>
      </c>
    </row>
    <row r="23" spans="1:13" x14ac:dyDescent="0.35">
      <c r="A23" s="13" t="s">
        <v>16</v>
      </c>
      <c r="B23" t="s">
        <v>53</v>
      </c>
      <c r="C23" t="s">
        <v>53</v>
      </c>
      <c r="D23" t="s">
        <v>53</v>
      </c>
      <c r="E23" t="s">
        <v>56</v>
      </c>
      <c r="F23" t="s">
        <v>56</v>
      </c>
      <c r="G23" t="s">
        <v>56</v>
      </c>
      <c r="H23" t="s">
        <v>57</v>
      </c>
      <c r="I23" t="s">
        <v>57</v>
      </c>
      <c r="J23" t="s">
        <v>57</v>
      </c>
      <c r="K23" t="s">
        <v>52</v>
      </c>
      <c r="L23" t="s">
        <v>52</v>
      </c>
      <c r="M23" t="s">
        <v>52</v>
      </c>
    </row>
    <row r="24" spans="1:13" x14ac:dyDescent="0.35">
      <c r="A24" s="13" t="s">
        <v>17</v>
      </c>
      <c r="B24" t="s">
        <v>53</v>
      </c>
      <c r="C24" t="s">
        <v>53</v>
      </c>
      <c r="D24" t="s">
        <v>53</v>
      </c>
      <c r="E24" t="s">
        <v>58</v>
      </c>
      <c r="F24" t="s">
        <v>58</v>
      </c>
      <c r="G24" t="s">
        <v>58</v>
      </c>
      <c r="H24" t="s">
        <v>59</v>
      </c>
      <c r="I24" t="s">
        <v>59</v>
      </c>
      <c r="J24" t="s">
        <v>59</v>
      </c>
      <c r="K24" t="s">
        <v>52</v>
      </c>
      <c r="L24" t="s">
        <v>52</v>
      </c>
      <c r="M24" t="s">
        <v>52</v>
      </c>
    </row>
    <row r="25" spans="1:13" x14ac:dyDescent="0.35">
      <c r="A25" s="13" t="s">
        <v>18</v>
      </c>
      <c r="B25" t="s">
        <v>53</v>
      </c>
      <c r="C25" t="s">
        <v>53</v>
      </c>
      <c r="D25" t="s">
        <v>53</v>
      </c>
      <c r="E25" t="s">
        <v>60</v>
      </c>
      <c r="F25" t="s">
        <v>60</v>
      </c>
      <c r="G25" t="s">
        <v>60</v>
      </c>
      <c r="H25" t="s">
        <v>61</v>
      </c>
      <c r="I25" t="s">
        <v>61</v>
      </c>
      <c r="J25" t="s">
        <v>61</v>
      </c>
      <c r="K25" t="s">
        <v>52</v>
      </c>
      <c r="L25" t="s">
        <v>52</v>
      </c>
      <c r="M25" t="s">
        <v>52</v>
      </c>
    </row>
    <row r="26" spans="1:13" x14ac:dyDescent="0.35">
      <c r="A26" s="13" t="s">
        <v>19</v>
      </c>
      <c r="B26" t="s">
        <v>62</v>
      </c>
      <c r="C26" t="s">
        <v>62</v>
      </c>
      <c r="D26" t="s">
        <v>62</v>
      </c>
      <c r="E26" t="s">
        <v>63</v>
      </c>
      <c r="F26" t="s">
        <v>63</v>
      </c>
      <c r="G26" t="s">
        <v>63</v>
      </c>
      <c r="H26" t="s">
        <v>64</v>
      </c>
      <c r="I26" t="s">
        <v>64</v>
      </c>
      <c r="J26" t="s">
        <v>64</v>
      </c>
      <c r="K26" t="s">
        <v>52</v>
      </c>
      <c r="L26" t="s">
        <v>52</v>
      </c>
      <c r="M26" t="s">
        <v>52</v>
      </c>
    </row>
    <row r="27" spans="1:13" x14ac:dyDescent="0.35">
      <c r="A27" s="13" t="s">
        <v>20</v>
      </c>
      <c r="B27" t="s">
        <v>65</v>
      </c>
      <c r="C27" t="s">
        <v>65</v>
      </c>
      <c r="D27" t="s">
        <v>65</v>
      </c>
      <c r="E27" t="s">
        <v>66</v>
      </c>
      <c r="F27" t="s">
        <v>66</v>
      </c>
      <c r="G27" t="s">
        <v>66</v>
      </c>
      <c r="H27" t="s">
        <v>67</v>
      </c>
      <c r="I27" t="s">
        <v>67</v>
      </c>
      <c r="J27" t="s">
        <v>67</v>
      </c>
      <c r="K27" t="s">
        <v>52</v>
      </c>
      <c r="L27" t="s">
        <v>52</v>
      </c>
      <c r="M27" t="s">
        <v>52</v>
      </c>
    </row>
    <row r="28" spans="1:13" x14ac:dyDescent="0.35">
      <c r="A28" s="13" t="s">
        <v>21</v>
      </c>
      <c r="B28" t="s">
        <v>68</v>
      </c>
      <c r="C28" t="s">
        <v>68</v>
      </c>
      <c r="D28" t="s">
        <v>68</v>
      </c>
      <c r="E28" t="s">
        <v>69</v>
      </c>
      <c r="F28" t="s">
        <v>69</v>
      </c>
      <c r="G28" t="s">
        <v>69</v>
      </c>
      <c r="H28" t="s">
        <v>70</v>
      </c>
      <c r="I28" t="s">
        <v>70</v>
      </c>
      <c r="J28" t="s">
        <v>70</v>
      </c>
      <c r="K28" t="s">
        <v>52</v>
      </c>
      <c r="L28" t="s">
        <v>52</v>
      </c>
      <c r="M28" t="s">
        <v>52</v>
      </c>
    </row>
    <row r="29" spans="1:13" x14ac:dyDescent="0.35">
      <c r="A29" s="13" t="s">
        <v>22</v>
      </c>
      <c r="B29" t="s">
        <v>71</v>
      </c>
      <c r="C29" t="s">
        <v>71</v>
      </c>
      <c r="D29" t="s">
        <v>71</v>
      </c>
      <c r="E29" t="s">
        <v>72</v>
      </c>
      <c r="F29" t="s">
        <v>72</v>
      </c>
      <c r="G29" t="s">
        <v>72</v>
      </c>
      <c r="H29" t="s">
        <v>52</v>
      </c>
      <c r="I29" t="s">
        <v>52</v>
      </c>
      <c r="J29" t="s">
        <v>52</v>
      </c>
      <c r="K29" t="s">
        <v>52</v>
      </c>
      <c r="L29" t="s">
        <v>52</v>
      </c>
      <c r="M29" t="s">
        <v>52</v>
      </c>
    </row>
    <row r="31" spans="1:13" x14ac:dyDescent="0.35">
      <c r="A31" s="12" t="s">
        <v>50</v>
      </c>
      <c r="B31" s="13">
        <v>1</v>
      </c>
      <c r="C31" s="13">
        <v>2</v>
      </c>
      <c r="D31" s="13">
        <v>3</v>
      </c>
      <c r="E31" s="13">
        <v>4</v>
      </c>
      <c r="F31" s="13">
        <v>5</v>
      </c>
      <c r="G31" s="13">
        <v>6</v>
      </c>
      <c r="H31" s="13">
        <v>7</v>
      </c>
      <c r="I31" s="13">
        <v>8</v>
      </c>
      <c r="J31" s="13">
        <v>9</v>
      </c>
      <c r="K31" s="13">
        <v>10</v>
      </c>
      <c r="L31" s="13">
        <v>11</v>
      </c>
      <c r="M31" s="13">
        <v>12</v>
      </c>
    </row>
    <row r="32" spans="1:13" x14ac:dyDescent="0.35">
      <c r="A32" s="13" t="s">
        <v>15</v>
      </c>
      <c r="B32" s="15">
        <v>1</v>
      </c>
      <c r="C32" s="15">
        <v>1</v>
      </c>
      <c r="D32" s="15">
        <v>1</v>
      </c>
      <c r="E32" s="15">
        <v>1</v>
      </c>
      <c r="F32" s="15">
        <v>1</v>
      </c>
      <c r="G32" s="15">
        <v>1</v>
      </c>
      <c r="H32" s="15">
        <v>1</v>
      </c>
      <c r="I32" s="15">
        <v>1</v>
      </c>
      <c r="J32" s="15">
        <v>1</v>
      </c>
      <c r="K32" s="15">
        <v>1</v>
      </c>
      <c r="L32" s="15">
        <v>1</v>
      </c>
      <c r="M32" s="15">
        <v>1</v>
      </c>
    </row>
    <row r="33" spans="1:13" x14ac:dyDescent="0.35">
      <c r="A33" s="13" t="s">
        <v>16</v>
      </c>
      <c r="B33" s="15">
        <v>1</v>
      </c>
      <c r="C33" s="15">
        <v>1</v>
      </c>
      <c r="D33" s="15">
        <v>1</v>
      </c>
      <c r="E33" s="15">
        <v>1</v>
      </c>
      <c r="F33" s="15">
        <v>1</v>
      </c>
      <c r="G33" s="15">
        <v>1</v>
      </c>
      <c r="H33" s="15">
        <v>1</v>
      </c>
      <c r="I33" s="15">
        <v>1</v>
      </c>
      <c r="J33" s="15">
        <v>1</v>
      </c>
      <c r="K33" s="15">
        <v>1</v>
      </c>
      <c r="L33" s="15">
        <v>1</v>
      </c>
      <c r="M33" s="15">
        <v>1</v>
      </c>
    </row>
    <row r="34" spans="1:13" x14ac:dyDescent="0.35">
      <c r="A34" s="13" t="s">
        <v>17</v>
      </c>
      <c r="B34" s="15">
        <v>1</v>
      </c>
      <c r="C34" s="15">
        <v>1</v>
      </c>
      <c r="D34" s="15">
        <v>1</v>
      </c>
      <c r="E34" s="15">
        <v>1</v>
      </c>
      <c r="F34" s="15">
        <v>1</v>
      </c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>
        <v>1</v>
      </c>
      <c r="M34" s="15">
        <v>1</v>
      </c>
    </row>
    <row r="35" spans="1:13" x14ac:dyDescent="0.35">
      <c r="A35" s="13" t="s">
        <v>18</v>
      </c>
      <c r="B35" s="15">
        <v>1</v>
      </c>
      <c r="C35" s="15">
        <v>1</v>
      </c>
      <c r="D35" s="15">
        <v>1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5">
        <v>1</v>
      </c>
    </row>
    <row r="36" spans="1:13" x14ac:dyDescent="0.35">
      <c r="A36" s="13" t="s">
        <v>19</v>
      </c>
      <c r="B36" s="15">
        <v>1</v>
      </c>
      <c r="C36" s="15">
        <v>1</v>
      </c>
      <c r="D36" s="15">
        <v>1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1</v>
      </c>
      <c r="M36" s="15">
        <v>1</v>
      </c>
    </row>
    <row r="37" spans="1:13" x14ac:dyDescent="0.35">
      <c r="A37" s="13" t="s">
        <v>20</v>
      </c>
      <c r="B37" s="15">
        <v>1</v>
      </c>
      <c r="C37" s="15">
        <v>1</v>
      </c>
      <c r="D37" s="15">
        <v>1</v>
      </c>
      <c r="E37" s="15">
        <v>1</v>
      </c>
      <c r="F37" s="15">
        <v>1</v>
      </c>
      <c r="G37" s="15">
        <v>1</v>
      </c>
      <c r="H37" s="15">
        <v>1</v>
      </c>
      <c r="I37" s="15">
        <v>1</v>
      </c>
      <c r="J37" s="15">
        <v>1</v>
      </c>
      <c r="K37" s="15">
        <v>1</v>
      </c>
      <c r="L37" s="15">
        <v>1</v>
      </c>
      <c r="M37" s="15">
        <v>1</v>
      </c>
    </row>
    <row r="38" spans="1:13" x14ac:dyDescent="0.35">
      <c r="A38" s="13" t="s">
        <v>21</v>
      </c>
      <c r="B38" s="15">
        <v>1</v>
      </c>
      <c r="C38" s="15">
        <v>1</v>
      </c>
      <c r="D38" s="15">
        <v>1</v>
      </c>
      <c r="E38" s="15">
        <v>1</v>
      </c>
      <c r="F38" s="15">
        <v>1</v>
      </c>
      <c r="G38" s="15">
        <v>1</v>
      </c>
      <c r="H38" s="15">
        <v>1</v>
      </c>
      <c r="I38" s="15">
        <v>1</v>
      </c>
      <c r="J38" s="15">
        <v>1</v>
      </c>
      <c r="K38" s="15">
        <v>1</v>
      </c>
      <c r="L38" s="15">
        <v>1</v>
      </c>
      <c r="M38" s="15">
        <v>1</v>
      </c>
    </row>
    <row r="39" spans="1:13" x14ac:dyDescent="0.35">
      <c r="A39" s="13" t="s">
        <v>22</v>
      </c>
      <c r="B39" s="15">
        <v>1</v>
      </c>
      <c r="C39" s="15">
        <v>1</v>
      </c>
      <c r="D39" s="15">
        <v>1</v>
      </c>
      <c r="E39" s="15">
        <v>1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5">
        <v>1</v>
      </c>
    </row>
  </sheetData>
  <phoneticPr fontId="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98667d-8817-4ad9-a7f2-bb287f867e5f}" enabled="0" method="" siteId="{a698667d-8817-4ad9-a7f2-bb287f867e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Lab Check</vt:lpstr>
      <vt:lpstr>Plate Paste</vt:lpstr>
      <vt:lpstr>STD export</vt:lpstr>
      <vt:lpstr>Sample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Montgomery, Ashleigh</cp:lastModifiedBy>
  <dcterms:created xsi:type="dcterms:W3CDTF">2023-06-06T15:16:21Z</dcterms:created>
  <dcterms:modified xsi:type="dcterms:W3CDTF">2024-09-18T17:41:09Z</dcterms:modified>
</cp:coreProperties>
</file>