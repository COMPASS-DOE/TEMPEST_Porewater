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50" documentId="8_{F7895609-8965-4041-A3CB-CBAFEE04D80A}" xr6:coauthVersionLast="47" xr6:coauthVersionMax="47" xr10:uidLastSave="{A91F54E3-D237-45B0-A7B2-9B8C316CCD59}"/>
  <bookViews>
    <workbookView xWindow="28680" yWindow="-120" windowWidth="29040" windowHeight="15720" xr2:uid="{B58B35B8-A942-4A8A-AE5B-9FA02509956A}"/>
  </bookViews>
  <sheets>
    <sheet name="STDs Chk" sheetId="1" r:id="rId1"/>
    <sheet name="Pastes" sheetId="4" r:id="rId2"/>
    <sheet name="STDs" sheetId="2" r:id="rId3"/>
    <sheet name="Samples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O28" i="1"/>
  <c r="B13" i="1"/>
  <c r="B12" i="1"/>
  <c r="B11" i="1"/>
  <c r="B7" i="1"/>
  <c r="R35" i="1"/>
  <c r="Q35" i="1"/>
  <c r="P35" i="1"/>
  <c r="O29" i="1"/>
  <c r="B29" i="1"/>
  <c r="B28" i="1"/>
  <c r="B27" i="1"/>
  <c r="O26" i="1"/>
  <c r="B26" i="1"/>
  <c r="O25" i="1"/>
  <c r="B25" i="1"/>
  <c r="O24" i="1"/>
  <c r="B24" i="1"/>
  <c r="O23" i="1"/>
  <c r="B23" i="1"/>
  <c r="O22" i="1"/>
  <c r="B22" i="1"/>
  <c r="O21" i="1"/>
  <c r="B21" i="1"/>
  <c r="O20" i="1"/>
  <c r="B20" i="1"/>
  <c r="O19" i="1"/>
  <c r="B19" i="1"/>
  <c r="O18" i="1"/>
  <c r="B18" i="1"/>
  <c r="O14" i="1"/>
  <c r="B14" i="1"/>
  <c r="O13" i="1"/>
  <c r="O12" i="1"/>
  <c r="O11" i="1"/>
  <c r="O10" i="1"/>
  <c r="B10" i="1"/>
  <c r="O9" i="1"/>
  <c r="B9" i="1"/>
  <c r="O8" i="1"/>
  <c r="B8" i="1"/>
  <c r="O7" i="1"/>
  <c r="O6" i="1"/>
  <c r="B6" i="1"/>
  <c r="O5" i="1"/>
  <c r="B5" i="1"/>
  <c r="O4" i="1"/>
  <c r="B4" i="1"/>
  <c r="O3" i="1"/>
  <c r="B3" i="1"/>
</calcChain>
</file>

<file path=xl/sharedStrings.xml><?xml version="1.0" encoding="utf-8"?>
<sst xmlns="http://schemas.openxmlformats.org/spreadsheetml/2006/main" count="347" uniqueCount="71">
  <si>
    <t xml:space="preserve">First Run of the Plate (Fe2 read) </t>
  </si>
  <si>
    <t xml:space="preserve">Second Run of the Plate (Fe Total read) </t>
  </si>
  <si>
    <t>FeII Stds</t>
  </si>
  <si>
    <t>Avg Abs</t>
  </si>
  <si>
    <t>Abs1</t>
  </si>
  <si>
    <t>Abs2</t>
  </si>
  <si>
    <t>As3</t>
  </si>
  <si>
    <t>FeIII Stds</t>
  </si>
  <si>
    <t>Red. Eff</t>
  </si>
  <si>
    <t>60 uM fe(III)</t>
  </si>
  <si>
    <t xml:space="preserve">&gt;85% </t>
  </si>
  <si>
    <t>E1</t>
  </si>
  <si>
    <t>E2</t>
  </si>
  <si>
    <t>E3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</si>
  <si>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</si>
  <si>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</si>
  <si>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</si>
  <si>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</si>
  <si>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</si>
  <si>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</si>
  <si>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</si>
  <si>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</si>
  <si>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</si>
  <si>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NA</t>
  </si>
  <si>
    <t>Dilutions</t>
  </si>
  <si>
    <t>Conc_uM</t>
  </si>
  <si>
    <t>0.5 M HCl</t>
  </si>
  <si>
    <t>STDS read1</t>
  </si>
  <si>
    <t>Samples1 read1</t>
  </si>
  <si>
    <t>STDS read2</t>
  </si>
  <si>
    <t>Samples1 read2</t>
  </si>
  <si>
    <t>FW_B4_20230608</t>
  </si>
  <si>
    <t>FW_C3_20230608</t>
  </si>
  <si>
    <t>FW_D5_20230608</t>
  </si>
  <si>
    <t>FW_E3_20230608</t>
  </si>
  <si>
    <t>SW_C3_20230608</t>
  </si>
  <si>
    <t>SW_C6_20230608</t>
  </si>
  <si>
    <t>SW_D5_20230608</t>
  </si>
  <si>
    <t>SW_E3_20230608</t>
  </si>
  <si>
    <t>SW_F4_20230608</t>
  </si>
  <si>
    <t>SW_F6_20230608</t>
  </si>
  <si>
    <t>SW_H3_20230608</t>
  </si>
  <si>
    <t>SW_H6_20230608</t>
  </si>
  <si>
    <t>FW_H6_20230608</t>
  </si>
  <si>
    <t>FW_H4_20230608</t>
  </si>
  <si>
    <t>FW_I5_20230608</t>
  </si>
  <si>
    <t>SW_D5_20230608_dup</t>
  </si>
  <si>
    <t>SW_E3_20230608_spk</t>
  </si>
  <si>
    <t>SW_I5_230608</t>
  </si>
  <si>
    <t>Fe_2_60 uM</t>
  </si>
  <si>
    <t>Fe_2_100_uM</t>
  </si>
  <si>
    <t>Fe_2_45 uM</t>
  </si>
  <si>
    <t>Fe_2_250 uM</t>
  </si>
  <si>
    <t>Fe_2_30 uM</t>
  </si>
  <si>
    <t>Fe_2_500 uM</t>
  </si>
  <si>
    <t>Fe_2_18 uM</t>
  </si>
  <si>
    <t>Fe_2_9 uM</t>
  </si>
  <si>
    <t>Fe_2_6 uM</t>
  </si>
  <si>
    <t>Fe_2_3 uM</t>
  </si>
  <si>
    <t>Fe_2_0.6 uM</t>
  </si>
  <si>
    <t>Fe_3_60 uM</t>
  </si>
  <si>
    <t>Fe_3_100 uM</t>
  </si>
  <si>
    <t>Fe_3_45 uM</t>
  </si>
  <si>
    <t>Fe_3_250 uM</t>
  </si>
  <si>
    <t>Fe_3_30 uM</t>
  </si>
  <si>
    <t>Fe_3_500 uM</t>
  </si>
  <si>
    <t>Fe_3_18 uM</t>
  </si>
  <si>
    <t>Fe_3_9 uM</t>
  </si>
  <si>
    <t>Fe_3_6 uM</t>
  </si>
  <si>
    <t>Fe_3_3 uM</t>
  </si>
  <si>
    <t>Fe_3_0.6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</si>
</sst>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/>
    <xf numFmtId="2" fontId="0" fillId="6" borderId="0" xfId="0" applyNumberFormat="1" applyFill="1"/>
    <xf numFmtId="0" fontId="0" fillId="7" borderId="1" xfId="0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6" xfId="0" applyBorder="1"/>
    <xf numFmtId="1" fontId="2" fillId="0" borderId="7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2" fontId="2" fillId="0" borderId="5" xfId="0" applyNumberFormat="1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44515773107979"/>
                  <c:y val="-3.45073559883962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Chk'!$A$3:$A$10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Chk'!$B$3:$B$10</c:f>
              <c:numCache>
                <c:formatCode>General</c:formatCode>
                <c:ptCount val="8"/>
                <c:pt idx="0">
                  <c:v>0.158</c:v>
                </c:pt>
                <c:pt idx="1">
                  <c:v>0.12333333333333334</c:v>
                </c:pt>
                <c:pt idx="2">
                  <c:v>0.10033333333333333</c:v>
                </c:pt>
                <c:pt idx="3">
                  <c:v>7.4666666666666673E-2</c:v>
                </c:pt>
                <c:pt idx="4">
                  <c:v>5.5500000000000001E-2</c:v>
                </c:pt>
                <c:pt idx="5">
                  <c:v>4.6666666666666669E-2</c:v>
                </c:pt>
                <c:pt idx="6">
                  <c:v>4.2333333333333334E-2</c:v>
                </c:pt>
                <c:pt idx="7">
                  <c:v>3.7666666666666661E-2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3-4A68-ABC6-D0CB230D7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191616"/>
        <c:axId val="1930189216"/>
      </c:scatterChart>
      <c:valAx>
        <c:axId val="193019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89216"/>
        <c:crosses val="autoZero"/>
        <c:crossBetween val="midCat"/>
      </c:valAx>
      <c:valAx>
        <c:axId val="19301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9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44515773107979"/>
                  <c:y val="-3.45073559883962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Chk'!$A$11:$A$14</c:f>
              <c:numCache>
                <c:formatCode>General</c:formatCode>
                <c:ptCount val="4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0</c:v>
                </c:pt>
              </c:numCache>
            </c:numRef>
          </c:xVal>
          <c:yVal>
            <c:numRef>
              <c:f>'STDs Chk'!$B$11:$B$14</c:f>
              <c:numCache>
                <c:formatCode>General</c:formatCode>
                <c:ptCount val="4"/>
                <c:pt idx="0">
                  <c:v>0.22700000000000001</c:v>
                </c:pt>
                <c:pt idx="1">
                  <c:v>0.47050000000000003</c:v>
                </c:pt>
                <c:pt idx="2">
                  <c:v>1.044</c:v>
                </c:pt>
                <c:pt idx="3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F-4C85-86BE-5F7BE526C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191616"/>
        <c:axId val="1930189216"/>
      </c:scatterChart>
      <c:valAx>
        <c:axId val="193019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89216"/>
        <c:crosses val="autoZero"/>
        <c:crossBetween val="midCat"/>
      </c:valAx>
      <c:valAx>
        <c:axId val="19301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9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77833660346319"/>
                  <c:y val="-2.31073446327683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Chk'!$N$18:$N$25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Chk'!$O$18:$O$25</c:f>
              <c:numCache>
                <c:formatCode>General</c:formatCode>
                <c:ptCount val="8"/>
                <c:pt idx="0">
                  <c:v>0.17433333333333334</c:v>
                </c:pt>
                <c:pt idx="1">
                  <c:v>0.13800000000000001</c:v>
                </c:pt>
                <c:pt idx="2">
                  <c:v>0.10433333333333333</c:v>
                </c:pt>
                <c:pt idx="3">
                  <c:v>8.5666666666666669E-2</c:v>
                </c:pt>
                <c:pt idx="4">
                  <c:v>6.0999999999999999E-2</c:v>
                </c:pt>
                <c:pt idx="5">
                  <c:v>5.4333333333333338E-2</c:v>
                </c:pt>
                <c:pt idx="6">
                  <c:v>4.7333333333333331E-2</c:v>
                </c:pt>
                <c:pt idx="7">
                  <c:v>3.9666666666666663E-2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7-40A9-A76F-9FFDFDB9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037008"/>
        <c:axId val="1945036528"/>
      </c:scatterChart>
      <c:valAx>
        <c:axId val="19450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36528"/>
        <c:crosses val="autoZero"/>
        <c:crossBetween val="midCat"/>
      </c:valAx>
      <c:valAx>
        <c:axId val="1945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77833660346319"/>
                  <c:y val="-2.31073446327683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Chk'!$N$26:$N$28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'STDs Chk'!$O$26:$O$28</c:f>
              <c:numCache>
                <c:formatCode>General</c:formatCode>
                <c:ptCount val="3"/>
                <c:pt idx="0">
                  <c:v>0.23099999999999998</c:v>
                </c:pt>
                <c:pt idx="1">
                  <c:v>0.28549999999999998</c:v>
                </c:pt>
                <c:pt idx="2">
                  <c:v>0.35150000000000003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36-4B7F-8A66-D6CA9584E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037008"/>
        <c:axId val="1945036528"/>
      </c:scatterChart>
      <c:valAx>
        <c:axId val="19450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36528"/>
        <c:crosses val="autoZero"/>
        <c:crossBetween val="midCat"/>
      </c:valAx>
      <c:valAx>
        <c:axId val="1945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1</xdr:row>
      <xdr:rowOff>120650</xdr:rowOff>
    </xdr:from>
    <xdr:to>
      <xdr:col>9</xdr:col>
      <xdr:colOff>260350</xdr:colOff>
      <xdr:row>12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09D6E-4C25-B4AD-8F5E-7133FE9ED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273050</xdr:colOff>
      <xdr:row>13</xdr:row>
      <xdr:rowOff>6350</xdr:rowOff>
    </xdr:from>
    <xdr:to>
      <xdr:col>9</xdr:col>
      <xdr:colOff>327025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0D1D19-9639-47F0-9527-BCC0EC4A2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298449</xdr:colOff>
      <xdr:row>11</xdr:row>
      <xdr:rowOff>152400</xdr:rowOff>
    </xdr:from>
    <xdr:to>
      <xdr:col>23</xdr:col>
      <xdr:colOff>168274</xdr:colOff>
      <xdr:row>24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3F3874-6159-771F-8AE8-DDCE8510F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279400</xdr:colOff>
      <xdr:row>24</xdr:row>
      <xdr:rowOff>177800</xdr:rowOff>
    </xdr:from>
    <xdr:to>
      <xdr:col>23</xdr:col>
      <xdr:colOff>149225</xdr:colOff>
      <xdr:row>37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202D01-62E3-4D9A-93DE-63A67A741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9D33-A037-4ACC-A9A1-2A9EB18601BB}">
  <dimension ref="A1:Y35"/>
  <sheetViews>
    <sheetView tabSelected="1" workbookViewId="0">
      <selection activeCell="Z10" sqref="Z10"/>
    </sheetView>
  </sheetViews>
  <sheetFormatPr defaultRowHeight="14.5" x14ac:dyDescent="0.35"/>
  <cols>
    <col min="13" max="13" width="5.7265625" style="1" customWidth="1"/>
  </cols>
  <sheetData>
    <row r="1" spans="1:25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N1" s="32" t="s">
        <v>1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</row>
    <row r="3" spans="1:25" x14ac:dyDescent="0.35">
      <c r="A3">
        <v>60</v>
      </c>
      <c r="B3">
        <f>AVERAGE(C3:E3)</f>
        <v>0.158</v>
      </c>
      <c r="C3" s="3">
        <v>0.17499999999999999</v>
      </c>
      <c r="D3" s="3">
        <v>0.16</v>
      </c>
      <c r="E3" s="3">
        <v>0.13900000000000001</v>
      </c>
      <c r="N3">
        <v>60</v>
      </c>
      <c r="O3">
        <f t="shared" ref="O3:O12" si="0">AVERAGE(P3:R3)</f>
        <v>0.28266666666666668</v>
      </c>
      <c r="P3" s="3">
        <v>0.307</v>
      </c>
      <c r="Q3" s="3">
        <v>0.27800000000000002</v>
      </c>
      <c r="R3" s="3">
        <v>0.26300000000000001</v>
      </c>
    </row>
    <row r="4" spans="1:25" x14ac:dyDescent="0.35">
      <c r="A4">
        <v>45</v>
      </c>
      <c r="B4">
        <f t="shared" ref="B4:B14" si="1">AVERAGE(C4:E4)</f>
        <v>0.12333333333333334</v>
      </c>
      <c r="C4" s="3">
        <v>0.106</v>
      </c>
      <c r="D4" s="3">
        <v>0.115</v>
      </c>
      <c r="E4" s="3">
        <v>0.14899999999999999</v>
      </c>
      <c r="N4">
        <v>45</v>
      </c>
      <c r="O4">
        <f t="shared" si="0"/>
        <v>0.22</v>
      </c>
      <c r="P4" s="3">
        <v>0.21099999999999999</v>
      </c>
      <c r="Q4" s="3">
        <v>0.219</v>
      </c>
      <c r="R4" s="3">
        <v>0.23</v>
      </c>
    </row>
    <row r="5" spans="1:25" x14ac:dyDescent="0.35">
      <c r="A5">
        <v>30</v>
      </c>
      <c r="B5">
        <f t="shared" si="1"/>
        <v>0.10033333333333333</v>
      </c>
      <c r="C5" s="3">
        <v>9.6000000000000002E-2</v>
      </c>
      <c r="D5" s="3">
        <v>0.09</v>
      </c>
      <c r="E5" s="3">
        <v>0.115</v>
      </c>
      <c r="N5">
        <v>30</v>
      </c>
      <c r="O5">
        <f t="shared" si="0"/>
        <v>0.17100000000000001</v>
      </c>
      <c r="P5" s="3">
        <v>0.16800000000000001</v>
      </c>
      <c r="Q5" s="3">
        <v>0.154</v>
      </c>
      <c r="R5" s="3">
        <v>0.191</v>
      </c>
    </row>
    <row r="6" spans="1:25" x14ac:dyDescent="0.35">
      <c r="A6">
        <v>18</v>
      </c>
      <c r="B6">
        <f t="shared" si="1"/>
        <v>7.4666666666666673E-2</v>
      </c>
      <c r="C6" s="3">
        <v>7.6999999999999999E-2</v>
      </c>
      <c r="D6" s="3">
        <v>7.0000000000000007E-2</v>
      </c>
      <c r="E6" s="3">
        <v>7.6999999999999999E-2</v>
      </c>
      <c r="N6">
        <v>18</v>
      </c>
      <c r="O6">
        <f t="shared" si="0"/>
        <v>0.11133333333333334</v>
      </c>
      <c r="P6" s="3">
        <v>0.115</v>
      </c>
      <c r="Q6" s="3">
        <v>0.105</v>
      </c>
      <c r="R6" s="3">
        <v>0.114</v>
      </c>
    </row>
    <row r="7" spans="1:25" x14ac:dyDescent="0.35">
      <c r="A7">
        <v>9</v>
      </c>
      <c r="B7">
        <f>AVERAGE(C7,E7)</f>
        <v>5.5500000000000001E-2</v>
      </c>
      <c r="C7" s="3">
        <v>5.6000000000000001E-2</v>
      </c>
      <c r="D7" s="30">
        <v>6.6000000000000003E-2</v>
      </c>
      <c r="E7" s="3">
        <v>5.5E-2</v>
      </c>
      <c r="N7">
        <v>9</v>
      </c>
      <c r="O7">
        <f t="shared" si="0"/>
        <v>7.9333333333333325E-2</v>
      </c>
      <c r="P7" s="3">
        <v>7.8E-2</v>
      </c>
      <c r="Q7" s="3">
        <v>8.7999999999999995E-2</v>
      </c>
      <c r="R7" s="3">
        <v>7.1999999999999995E-2</v>
      </c>
    </row>
    <row r="8" spans="1:25" x14ac:dyDescent="0.35">
      <c r="A8">
        <v>6</v>
      </c>
      <c r="B8">
        <f t="shared" si="1"/>
        <v>4.6666666666666669E-2</v>
      </c>
      <c r="C8" s="3">
        <v>4.7E-2</v>
      </c>
      <c r="D8" s="3">
        <v>4.4999999999999998E-2</v>
      </c>
      <c r="E8" s="3">
        <v>4.8000000000000001E-2</v>
      </c>
      <c r="N8">
        <v>6</v>
      </c>
      <c r="O8">
        <f t="shared" si="0"/>
        <v>0.06</v>
      </c>
      <c r="P8" s="3">
        <v>6.6000000000000003E-2</v>
      </c>
      <c r="Q8" s="3">
        <v>6.0999999999999999E-2</v>
      </c>
      <c r="R8" s="3">
        <v>5.2999999999999999E-2</v>
      </c>
    </row>
    <row r="9" spans="1:25" x14ac:dyDescent="0.35">
      <c r="A9">
        <v>3</v>
      </c>
      <c r="B9">
        <f t="shared" si="1"/>
        <v>4.2333333333333334E-2</v>
      </c>
      <c r="C9" s="3">
        <v>4.3999999999999997E-2</v>
      </c>
      <c r="D9" s="3">
        <v>4.1000000000000002E-2</v>
      </c>
      <c r="E9" s="3">
        <v>4.2000000000000003E-2</v>
      </c>
      <c r="N9">
        <v>3</v>
      </c>
      <c r="O9">
        <f t="shared" si="0"/>
        <v>5.1000000000000011E-2</v>
      </c>
      <c r="P9" s="3">
        <v>5.2999999999999999E-2</v>
      </c>
      <c r="Q9" s="3">
        <v>0.05</v>
      </c>
      <c r="R9" s="3">
        <v>0.05</v>
      </c>
    </row>
    <row r="10" spans="1:25" x14ac:dyDescent="0.35">
      <c r="A10">
        <v>0.6</v>
      </c>
      <c r="B10">
        <f t="shared" si="1"/>
        <v>3.7666666666666661E-2</v>
      </c>
      <c r="C10" s="3">
        <v>3.6999999999999998E-2</v>
      </c>
      <c r="D10" s="3">
        <v>3.7999999999999999E-2</v>
      </c>
      <c r="E10" s="3">
        <v>3.7999999999999999E-2</v>
      </c>
      <c r="N10">
        <v>0.6</v>
      </c>
      <c r="O10">
        <f t="shared" si="0"/>
        <v>3.9666666666666663E-2</v>
      </c>
      <c r="P10" s="3">
        <v>3.9E-2</v>
      </c>
      <c r="Q10" s="3">
        <v>0.04</v>
      </c>
      <c r="R10" s="3">
        <v>0.04</v>
      </c>
    </row>
    <row r="11" spans="1:25" x14ac:dyDescent="0.35">
      <c r="A11">
        <v>100</v>
      </c>
      <c r="B11">
        <f>AVERAGE(D11:E11)</f>
        <v>0.22700000000000001</v>
      </c>
      <c r="C11" s="30">
        <v>0.20699999999999999</v>
      </c>
      <c r="D11" s="3">
        <v>0.23100000000000001</v>
      </c>
      <c r="E11" s="3">
        <v>0.223</v>
      </c>
      <c r="N11">
        <v>100</v>
      </c>
      <c r="O11">
        <f t="shared" si="0"/>
        <v>0.41</v>
      </c>
      <c r="P11" s="3">
        <v>0.376</v>
      </c>
      <c r="Q11" s="3">
        <v>0.435</v>
      </c>
      <c r="R11" s="3">
        <v>0.41899999999999998</v>
      </c>
    </row>
    <row r="12" spans="1:25" x14ac:dyDescent="0.35">
      <c r="A12">
        <v>250</v>
      </c>
      <c r="B12">
        <f>AVERAGE(D12:E12)</f>
        <v>0.47050000000000003</v>
      </c>
      <c r="C12" s="30">
        <v>0.38600000000000001</v>
      </c>
      <c r="D12" s="3">
        <v>0.49</v>
      </c>
      <c r="E12" s="3">
        <v>0.45100000000000001</v>
      </c>
      <c r="N12">
        <v>250</v>
      </c>
      <c r="O12">
        <f t="shared" si="0"/>
        <v>0.67033333333333334</v>
      </c>
      <c r="P12" s="3">
        <v>0.56699999999999995</v>
      </c>
      <c r="Q12" s="3">
        <v>0.77300000000000002</v>
      </c>
      <c r="R12" s="3">
        <v>0.67100000000000004</v>
      </c>
    </row>
    <row r="13" spans="1:25" x14ac:dyDescent="0.35">
      <c r="A13">
        <v>500</v>
      </c>
      <c r="B13">
        <f>AVERAGE(C13:D13)</f>
        <v>1.044</v>
      </c>
      <c r="C13" s="3">
        <v>1.089</v>
      </c>
      <c r="D13" s="3">
        <v>0.999</v>
      </c>
      <c r="E13" s="30">
        <v>0.60499999999999998</v>
      </c>
      <c r="N13">
        <v>500</v>
      </c>
      <c r="O13">
        <f t="shared" ref="O13:O14" si="2">AVERAGE(P13:R13)</f>
        <v>1.1336666666666666</v>
      </c>
      <c r="P13" s="3">
        <v>1.1140000000000001</v>
      </c>
      <c r="Q13" s="3">
        <v>1.093</v>
      </c>
      <c r="R13" s="3">
        <v>1.194</v>
      </c>
    </row>
    <row r="14" spans="1:25" x14ac:dyDescent="0.35">
      <c r="A14">
        <v>0</v>
      </c>
      <c r="B14">
        <f t="shared" si="1"/>
        <v>3.7999999999999999E-2</v>
      </c>
      <c r="C14" s="3">
        <v>3.7999999999999999E-2</v>
      </c>
      <c r="D14" s="3">
        <v>3.7999999999999999E-2</v>
      </c>
      <c r="E14" s="3">
        <v>3.7999999999999999E-2</v>
      </c>
      <c r="N14">
        <v>0</v>
      </c>
      <c r="O14">
        <f t="shared" si="2"/>
        <v>3.7999999999999999E-2</v>
      </c>
      <c r="P14" s="3">
        <v>3.7999999999999999E-2</v>
      </c>
      <c r="Q14" s="3">
        <v>3.7999999999999999E-2</v>
      </c>
      <c r="R14" s="3">
        <v>3.7999999999999999E-2</v>
      </c>
    </row>
    <row r="17" spans="1:18" x14ac:dyDescent="0.35">
      <c r="A17" s="2" t="s">
        <v>7</v>
      </c>
      <c r="B17" s="2" t="s">
        <v>3</v>
      </c>
      <c r="C17" s="2" t="s">
        <v>4</v>
      </c>
      <c r="D17" s="2" t="s">
        <v>5</v>
      </c>
      <c r="E17" s="2" t="s">
        <v>6</v>
      </c>
      <c r="N17" s="2" t="s">
        <v>7</v>
      </c>
      <c r="O17" s="2" t="s">
        <v>3</v>
      </c>
      <c r="P17" s="2" t="s">
        <v>4</v>
      </c>
      <c r="Q17" s="2" t="s">
        <v>5</v>
      </c>
      <c r="R17" s="2" t="s">
        <v>6</v>
      </c>
    </row>
    <row r="18" spans="1:18" x14ac:dyDescent="0.35">
      <c r="A18">
        <v>60</v>
      </c>
      <c r="B18">
        <f>AVERAGE(C18:E18)</f>
        <v>3.9666666666666663E-2</v>
      </c>
      <c r="C18" s="3">
        <v>3.9E-2</v>
      </c>
      <c r="D18" s="3">
        <v>0.04</v>
      </c>
      <c r="E18" s="3">
        <v>0.04</v>
      </c>
      <c r="N18">
        <v>60</v>
      </c>
      <c r="O18">
        <f>AVERAGE(P18:R18)</f>
        <v>0.17433333333333334</v>
      </c>
      <c r="P18" s="3">
        <v>0.16700000000000001</v>
      </c>
      <c r="Q18" s="3">
        <v>0.185</v>
      </c>
      <c r="R18" s="3">
        <v>0.17100000000000001</v>
      </c>
    </row>
    <row r="19" spans="1:18" x14ac:dyDescent="0.35">
      <c r="A19">
        <v>45</v>
      </c>
      <c r="B19">
        <f t="shared" ref="B19:B29" si="3">AVERAGE(C19:E19)</f>
        <v>0.04</v>
      </c>
      <c r="C19" s="3">
        <v>4.1000000000000002E-2</v>
      </c>
      <c r="D19" s="3">
        <v>3.9E-2</v>
      </c>
      <c r="E19" s="3">
        <v>0.04</v>
      </c>
      <c r="N19">
        <v>45</v>
      </c>
      <c r="O19">
        <f t="shared" ref="O19:O29" si="4">AVERAGE(P19:R19)</f>
        <v>0.13800000000000001</v>
      </c>
      <c r="P19" s="3">
        <v>0.14000000000000001</v>
      </c>
      <c r="Q19" s="3">
        <v>0.14099999999999999</v>
      </c>
      <c r="R19" s="3">
        <v>0.13300000000000001</v>
      </c>
    </row>
    <row r="20" spans="1:18" x14ac:dyDescent="0.35">
      <c r="A20">
        <v>30</v>
      </c>
      <c r="B20">
        <f t="shared" si="3"/>
        <v>3.9E-2</v>
      </c>
      <c r="C20" s="3">
        <v>3.9E-2</v>
      </c>
      <c r="D20" s="3">
        <v>3.9E-2</v>
      </c>
      <c r="E20" s="3">
        <v>3.9E-2</v>
      </c>
      <c r="N20">
        <v>30</v>
      </c>
      <c r="O20">
        <f t="shared" si="4"/>
        <v>0.10433333333333333</v>
      </c>
      <c r="P20" s="3">
        <v>0.106</v>
      </c>
      <c r="Q20" s="3">
        <v>9.9000000000000005E-2</v>
      </c>
      <c r="R20" s="3">
        <v>0.108</v>
      </c>
    </row>
    <row r="21" spans="1:18" x14ac:dyDescent="0.35">
      <c r="A21">
        <v>18</v>
      </c>
      <c r="B21">
        <f t="shared" si="3"/>
        <v>3.9333333333333331E-2</v>
      </c>
      <c r="C21" s="3">
        <v>3.9E-2</v>
      </c>
      <c r="D21" s="3">
        <v>0.04</v>
      </c>
      <c r="E21" s="3">
        <v>3.9E-2</v>
      </c>
      <c r="N21">
        <v>18</v>
      </c>
      <c r="O21">
        <f t="shared" si="4"/>
        <v>8.5666666666666669E-2</v>
      </c>
      <c r="P21" s="3">
        <v>0.09</v>
      </c>
      <c r="Q21" s="3">
        <v>8.3000000000000004E-2</v>
      </c>
      <c r="R21" s="3">
        <v>8.4000000000000005E-2</v>
      </c>
    </row>
    <row r="22" spans="1:18" x14ac:dyDescent="0.35">
      <c r="A22">
        <v>9</v>
      </c>
      <c r="B22">
        <f t="shared" si="3"/>
        <v>3.833333333333333E-2</v>
      </c>
      <c r="C22" s="3">
        <v>3.7999999999999999E-2</v>
      </c>
      <c r="D22" s="3">
        <v>3.9E-2</v>
      </c>
      <c r="E22" s="3">
        <v>3.7999999999999999E-2</v>
      </c>
      <c r="N22">
        <v>9</v>
      </c>
      <c r="O22">
        <f t="shared" si="4"/>
        <v>6.0999999999999999E-2</v>
      </c>
      <c r="P22" s="3">
        <v>0.06</v>
      </c>
      <c r="Q22" s="3">
        <v>0.06</v>
      </c>
      <c r="R22" s="3">
        <v>6.3E-2</v>
      </c>
    </row>
    <row r="23" spans="1:18" x14ac:dyDescent="0.35">
      <c r="A23">
        <v>6</v>
      </c>
      <c r="B23">
        <f t="shared" si="3"/>
        <v>3.7999999999999999E-2</v>
      </c>
      <c r="C23" s="3">
        <v>3.7999999999999999E-2</v>
      </c>
      <c r="D23" s="3">
        <v>3.7999999999999999E-2</v>
      </c>
      <c r="E23" s="3">
        <v>3.7999999999999999E-2</v>
      </c>
      <c r="N23">
        <v>6</v>
      </c>
      <c r="O23">
        <f t="shared" si="4"/>
        <v>5.4333333333333338E-2</v>
      </c>
      <c r="P23" s="3">
        <v>5.6000000000000001E-2</v>
      </c>
      <c r="Q23" s="3">
        <v>5.2999999999999999E-2</v>
      </c>
      <c r="R23" s="3">
        <v>5.3999999999999999E-2</v>
      </c>
    </row>
    <row r="24" spans="1:18" x14ac:dyDescent="0.35">
      <c r="A24">
        <v>3</v>
      </c>
      <c r="B24">
        <f t="shared" si="3"/>
        <v>3.8666666666666662E-2</v>
      </c>
      <c r="C24" s="3">
        <v>3.7999999999999999E-2</v>
      </c>
      <c r="D24" s="3">
        <v>3.9E-2</v>
      </c>
      <c r="E24" s="3">
        <v>3.9E-2</v>
      </c>
      <c r="N24">
        <v>3</v>
      </c>
      <c r="O24">
        <f t="shared" si="4"/>
        <v>4.7333333333333331E-2</v>
      </c>
      <c r="P24" s="3">
        <v>4.2000000000000003E-2</v>
      </c>
      <c r="Q24" s="3">
        <v>4.9000000000000002E-2</v>
      </c>
      <c r="R24" s="3">
        <v>5.0999999999999997E-2</v>
      </c>
    </row>
    <row r="25" spans="1:18" x14ac:dyDescent="0.35">
      <c r="A25">
        <v>0.6</v>
      </c>
      <c r="B25">
        <f t="shared" si="3"/>
        <v>3.7999999999999999E-2</v>
      </c>
      <c r="C25" s="3">
        <v>3.7999999999999999E-2</v>
      </c>
      <c r="D25" s="3">
        <v>3.7999999999999999E-2</v>
      </c>
      <c r="E25" s="3">
        <v>3.7999999999999999E-2</v>
      </c>
      <c r="N25">
        <v>0.6</v>
      </c>
      <c r="O25">
        <f t="shared" si="4"/>
        <v>3.9666666666666663E-2</v>
      </c>
      <c r="P25" s="3">
        <v>3.9E-2</v>
      </c>
      <c r="Q25" s="3">
        <v>0.04</v>
      </c>
      <c r="R25" s="3">
        <v>0.04</v>
      </c>
    </row>
    <row r="26" spans="1:18" x14ac:dyDescent="0.35">
      <c r="A26">
        <v>100</v>
      </c>
      <c r="B26">
        <f t="shared" si="3"/>
        <v>4.1000000000000002E-2</v>
      </c>
      <c r="C26" s="3">
        <v>4.1000000000000002E-2</v>
      </c>
      <c r="D26" s="3">
        <v>0.04</v>
      </c>
      <c r="E26" s="3">
        <v>4.2000000000000003E-2</v>
      </c>
      <c r="N26">
        <v>100</v>
      </c>
      <c r="O26">
        <f t="shared" si="4"/>
        <v>0.23099999999999998</v>
      </c>
      <c r="P26" s="3">
        <v>0.23699999999999999</v>
      </c>
      <c r="Q26" s="3">
        <v>0.22</v>
      </c>
      <c r="R26" s="3">
        <v>0.23599999999999999</v>
      </c>
    </row>
    <row r="27" spans="1:18" x14ac:dyDescent="0.35">
      <c r="A27">
        <v>250</v>
      </c>
      <c r="B27">
        <f t="shared" si="3"/>
        <v>4.3333333333333335E-2</v>
      </c>
      <c r="C27" s="3">
        <v>4.2999999999999997E-2</v>
      </c>
      <c r="D27" s="3">
        <v>4.3999999999999997E-2</v>
      </c>
      <c r="E27" s="3">
        <v>4.2999999999999997E-2</v>
      </c>
      <c r="N27">
        <v>250</v>
      </c>
      <c r="O27">
        <f>AVERAGE(P27,R27)</f>
        <v>0.28549999999999998</v>
      </c>
      <c r="P27" s="3">
        <v>0.27</v>
      </c>
      <c r="Q27" s="30">
        <v>0.375</v>
      </c>
      <c r="R27" s="3">
        <v>0.30099999999999999</v>
      </c>
    </row>
    <row r="28" spans="1:18" x14ac:dyDescent="0.35">
      <c r="A28">
        <v>500</v>
      </c>
      <c r="B28">
        <f t="shared" si="3"/>
        <v>4.4666666666666667E-2</v>
      </c>
      <c r="C28" s="3">
        <v>4.2000000000000003E-2</v>
      </c>
      <c r="D28" s="3">
        <v>4.4999999999999998E-2</v>
      </c>
      <c r="E28" s="3">
        <v>4.7E-2</v>
      </c>
      <c r="N28">
        <v>500</v>
      </c>
      <c r="O28">
        <f>AVERAGE(Q28:R28)</f>
        <v>0.35150000000000003</v>
      </c>
      <c r="P28" s="30">
        <v>0.28299999999999997</v>
      </c>
      <c r="Q28" s="3">
        <v>0.33800000000000002</v>
      </c>
      <c r="R28" s="3">
        <v>0.36499999999999999</v>
      </c>
    </row>
    <row r="29" spans="1:18" x14ac:dyDescent="0.35">
      <c r="A29">
        <v>0</v>
      </c>
      <c r="B29">
        <f t="shared" si="3"/>
        <v>3.7666666666666661E-2</v>
      </c>
      <c r="C29" s="3">
        <v>3.7999999999999999E-2</v>
      </c>
      <c r="D29" s="3">
        <v>3.7999999999999999E-2</v>
      </c>
      <c r="E29" s="3">
        <v>3.6999999999999998E-2</v>
      </c>
      <c r="N29">
        <v>0</v>
      </c>
      <c r="O29">
        <f t="shared" si="4"/>
        <v>3.833333333333333E-2</v>
      </c>
      <c r="P29" s="3">
        <v>3.7999999999999999E-2</v>
      </c>
      <c r="Q29" s="3">
        <v>3.9E-2</v>
      </c>
      <c r="R29" s="3">
        <v>3.7999999999999999E-2</v>
      </c>
    </row>
    <row r="33" spans="15:18" x14ac:dyDescent="0.35">
      <c r="O33" s="4" t="s">
        <v>8</v>
      </c>
      <c r="P33" s="5" t="s">
        <v>9</v>
      </c>
      <c r="Q33" s="5"/>
      <c r="R33" s="5" t="s">
        <v>10</v>
      </c>
    </row>
    <row r="34" spans="15:18" x14ac:dyDescent="0.35">
      <c r="P34" t="s">
        <v>11</v>
      </c>
      <c r="Q34" t="s">
        <v>12</v>
      </c>
      <c r="R34" t="s">
        <v>13</v>
      </c>
    </row>
    <row r="35" spans="15:18" x14ac:dyDescent="0.35">
      <c r="P35" s="6">
        <f>((P18/0.8)/C3)*100</f>
        <v>119.28571428571428</v>
      </c>
      <c r="Q35" s="6">
        <f>((Q18/0.8)/D3)*100</f>
        <v>144.53124999999997</v>
      </c>
      <c r="R35" s="6">
        <f>((R18/0.8)/E3)*100</f>
        <v>153.77697841726615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6017-83E5-46E5-A418-99B6390F4827}">
  <dimension ref="A1:N39"/>
  <sheetViews>
    <sheetView topLeftCell="A13" workbookViewId="0">
      <selection activeCell="B32" sqref="B32:M39"/>
    </sheetView>
  </sheetViews>
  <sheetFormatPr defaultRowHeight="14.5" x14ac:dyDescent="0.35"/>
  <cols>
    <col min="1" max="1" width="12" customWidth="1"/>
  </cols>
  <sheetData>
    <row r="1" spans="1:14" x14ac:dyDescent="0.35">
      <c r="A1" s="7" t="s">
        <v>27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4" x14ac:dyDescent="0.35">
      <c r="A2" s="8" t="s">
        <v>14</v>
      </c>
      <c r="B2" s="3">
        <v>0.17499999999999999</v>
      </c>
      <c r="C2" s="3">
        <v>0.16</v>
      </c>
      <c r="D2" s="3">
        <v>0.13900000000000001</v>
      </c>
      <c r="E2" s="3">
        <v>0.20699999999999999</v>
      </c>
      <c r="F2" s="3">
        <v>0.23100000000000001</v>
      </c>
      <c r="G2" s="3">
        <v>0.223</v>
      </c>
      <c r="H2" s="3">
        <v>3.9E-2</v>
      </c>
      <c r="I2" s="3">
        <v>0.04</v>
      </c>
      <c r="J2" s="3">
        <v>0.04</v>
      </c>
      <c r="K2" s="3">
        <v>4.1000000000000002E-2</v>
      </c>
      <c r="L2" s="3">
        <v>0.04</v>
      </c>
      <c r="M2" s="3">
        <v>4.2000000000000003E-2</v>
      </c>
      <c r="N2" s="26">
        <v>562</v>
      </c>
    </row>
    <row r="3" spans="1:14" x14ac:dyDescent="0.35">
      <c r="A3" s="8" t="s">
        <v>15</v>
      </c>
      <c r="B3" s="3">
        <v>0.106</v>
      </c>
      <c r="C3" s="3">
        <v>0.115</v>
      </c>
      <c r="D3" s="3">
        <v>0.14899999999999999</v>
      </c>
      <c r="E3" s="3">
        <v>0.38600000000000001</v>
      </c>
      <c r="F3" s="3">
        <v>0.49</v>
      </c>
      <c r="G3" s="3">
        <v>0.45100000000000001</v>
      </c>
      <c r="H3" s="3">
        <v>4.1000000000000002E-2</v>
      </c>
      <c r="I3" s="3">
        <v>3.9E-2</v>
      </c>
      <c r="J3" s="3">
        <v>0.04</v>
      </c>
      <c r="K3" s="3">
        <v>4.2999999999999997E-2</v>
      </c>
      <c r="L3" s="3">
        <v>4.3999999999999997E-2</v>
      </c>
      <c r="M3" s="3">
        <v>4.2999999999999997E-2</v>
      </c>
      <c r="N3" s="26">
        <v>562</v>
      </c>
    </row>
    <row r="4" spans="1:14" x14ac:dyDescent="0.35">
      <c r="A4" s="8" t="s">
        <v>16</v>
      </c>
      <c r="B4" s="3">
        <v>9.6000000000000002E-2</v>
      </c>
      <c r="C4" s="3">
        <v>0.09</v>
      </c>
      <c r="D4" s="3">
        <v>0.115</v>
      </c>
      <c r="E4" s="3">
        <v>1.089</v>
      </c>
      <c r="F4" s="3">
        <v>0.999</v>
      </c>
      <c r="G4" s="3">
        <v>0.60499999999999998</v>
      </c>
      <c r="H4" s="3">
        <v>3.9E-2</v>
      </c>
      <c r="I4" s="3">
        <v>3.9E-2</v>
      </c>
      <c r="J4" s="3">
        <v>3.9E-2</v>
      </c>
      <c r="K4" s="3">
        <v>4.2000000000000003E-2</v>
      </c>
      <c r="L4" s="3">
        <v>4.4999999999999998E-2</v>
      </c>
      <c r="M4" s="3">
        <v>4.7E-2</v>
      </c>
      <c r="N4" s="26">
        <v>562</v>
      </c>
    </row>
    <row r="5" spans="1:14" x14ac:dyDescent="0.35">
      <c r="A5" s="8" t="s">
        <v>17</v>
      </c>
      <c r="B5" s="3">
        <v>7.6999999999999999E-2</v>
      </c>
      <c r="C5" s="3">
        <v>7.0000000000000007E-2</v>
      </c>
      <c r="D5" s="3">
        <v>7.6999999999999999E-2</v>
      </c>
      <c r="E5" s="3">
        <v>4.9000000000000002E-2</v>
      </c>
      <c r="F5" s="3">
        <v>0.06</v>
      </c>
      <c r="G5" s="3">
        <v>4.7E-2</v>
      </c>
      <c r="H5" s="3">
        <v>3.9E-2</v>
      </c>
      <c r="I5" s="3">
        <v>0.04</v>
      </c>
      <c r="J5" s="3">
        <v>3.9E-2</v>
      </c>
      <c r="K5" s="3">
        <v>4.7E-2</v>
      </c>
      <c r="L5" s="3">
        <v>4.7E-2</v>
      </c>
      <c r="M5" s="3">
        <v>4.7E-2</v>
      </c>
      <c r="N5" s="26">
        <v>562</v>
      </c>
    </row>
    <row r="6" spans="1:14" x14ac:dyDescent="0.35">
      <c r="A6" s="8" t="s">
        <v>18</v>
      </c>
      <c r="B6" s="3">
        <v>5.6000000000000001E-2</v>
      </c>
      <c r="C6" s="3">
        <v>6.6000000000000003E-2</v>
      </c>
      <c r="D6" s="3">
        <v>5.5E-2</v>
      </c>
      <c r="E6" s="3">
        <v>4.7E-2</v>
      </c>
      <c r="F6" s="3">
        <v>4.7E-2</v>
      </c>
      <c r="G6" s="3">
        <v>4.7E-2</v>
      </c>
      <c r="H6" s="3">
        <v>3.7999999999999999E-2</v>
      </c>
      <c r="I6" s="3">
        <v>3.9E-2</v>
      </c>
      <c r="J6" s="3">
        <v>3.7999999999999999E-2</v>
      </c>
      <c r="K6" s="3">
        <v>4.7E-2</v>
      </c>
      <c r="L6" s="3">
        <v>4.7E-2</v>
      </c>
      <c r="M6" s="3">
        <v>4.7E-2</v>
      </c>
      <c r="N6" s="26">
        <v>562</v>
      </c>
    </row>
    <row r="7" spans="1:14" x14ac:dyDescent="0.35">
      <c r="A7" s="8" t="s">
        <v>19</v>
      </c>
      <c r="B7" s="3">
        <v>4.7E-2</v>
      </c>
      <c r="C7" s="3">
        <v>4.4999999999999998E-2</v>
      </c>
      <c r="D7" s="3">
        <v>4.8000000000000001E-2</v>
      </c>
      <c r="E7" s="3">
        <v>4.7E-2</v>
      </c>
      <c r="F7" s="3">
        <v>4.7E-2</v>
      </c>
      <c r="G7" s="3">
        <v>4.7E-2</v>
      </c>
      <c r="H7" s="3">
        <v>3.7999999999999999E-2</v>
      </c>
      <c r="I7" s="3">
        <v>3.7999999999999999E-2</v>
      </c>
      <c r="J7" s="3">
        <v>3.7999999999999999E-2</v>
      </c>
      <c r="K7" s="3">
        <v>4.7E-2</v>
      </c>
      <c r="L7" s="3">
        <v>4.7E-2</v>
      </c>
      <c r="M7" s="3">
        <v>4.7E-2</v>
      </c>
      <c r="N7" s="26">
        <v>562</v>
      </c>
    </row>
    <row r="8" spans="1:14" x14ac:dyDescent="0.35">
      <c r="A8" s="8" t="s">
        <v>20</v>
      </c>
      <c r="B8" s="3">
        <v>4.3999999999999997E-2</v>
      </c>
      <c r="C8" s="3">
        <v>4.1000000000000002E-2</v>
      </c>
      <c r="D8" s="3">
        <v>4.2000000000000003E-2</v>
      </c>
      <c r="E8" s="3">
        <v>4.7E-2</v>
      </c>
      <c r="F8" s="3">
        <v>4.7E-2</v>
      </c>
      <c r="G8" s="3">
        <v>4.7E-2</v>
      </c>
      <c r="H8" s="3">
        <v>3.7999999999999999E-2</v>
      </c>
      <c r="I8" s="3">
        <v>3.9E-2</v>
      </c>
      <c r="J8" s="3">
        <v>3.9E-2</v>
      </c>
      <c r="K8" s="3">
        <v>4.7E-2</v>
      </c>
      <c r="L8" s="3">
        <v>4.7E-2</v>
      </c>
      <c r="M8" s="3">
        <v>4.7E-2</v>
      </c>
      <c r="N8" s="26">
        <v>562</v>
      </c>
    </row>
    <row r="9" spans="1:14" x14ac:dyDescent="0.35">
      <c r="A9" s="8" t="s">
        <v>21</v>
      </c>
      <c r="B9" s="3">
        <v>3.6999999999999998E-2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3.7999999999999999E-2</v>
      </c>
      <c r="H9" s="3">
        <v>3.7999999999999999E-2</v>
      </c>
      <c r="I9" s="3">
        <v>3.7999999999999999E-2</v>
      </c>
      <c r="J9" s="3">
        <v>3.7999999999999999E-2</v>
      </c>
      <c r="K9" s="3">
        <v>3.7999999999999999E-2</v>
      </c>
      <c r="L9" s="3">
        <v>3.7999999999999999E-2</v>
      </c>
      <c r="M9" s="3">
        <v>3.6999999999999998E-2</v>
      </c>
      <c r="N9" s="26">
        <v>562</v>
      </c>
    </row>
    <row r="11" spans="1:14" ht="29" x14ac:dyDescent="0.35">
      <c r="A11" s="7" t="s">
        <v>28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4" x14ac:dyDescent="0.35">
      <c r="A12" s="8" t="s">
        <v>14</v>
      </c>
      <c r="B12" s="3">
        <v>0.14499999999999999</v>
      </c>
      <c r="C12" s="3">
        <v>0.155</v>
      </c>
      <c r="D12" s="3">
        <v>0.14599999999999999</v>
      </c>
      <c r="E12" s="3">
        <v>4.2000000000000003E-2</v>
      </c>
      <c r="F12" s="3">
        <v>4.1000000000000002E-2</v>
      </c>
      <c r="G12" s="3">
        <v>4.1000000000000002E-2</v>
      </c>
      <c r="H12" s="3">
        <v>0.17799999999999999</v>
      </c>
      <c r="I12" s="3">
        <v>0.17199999999999999</v>
      </c>
      <c r="J12" s="3">
        <v>0.17</v>
      </c>
      <c r="K12" s="3">
        <v>4.2999999999999997E-2</v>
      </c>
      <c r="L12" s="3">
        <v>4.2999999999999997E-2</v>
      </c>
      <c r="M12" s="3">
        <v>4.2999999999999997E-2</v>
      </c>
      <c r="N12" s="26">
        <v>562</v>
      </c>
    </row>
    <row r="13" spans="1:14" x14ac:dyDescent="0.35">
      <c r="A13" s="8" t="s">
        <v>15</v>
      </c>
      <c r="B13" s="3">
        <v>5.2999999999999999E-2</v>
      </c>
      <c r="C13" s="3">
        <v>0.05</v>
      </c>
      <c r="D13" s="3">
        <v>5.0999999999999997E-2</v>
      </c>
      <c r="E13" s="3">
        <v>4.5999999999999999E-2</v>
      </c>
      <c r="F13" s="3">
        <v>4.2999999999999997E-2</v>
      </c>
      <c r="G13" s="3">
        <v>4.2999999999999997E-2</v>
      </c>
      <c r="H13" s="3">
        <v>0.123</v>
      </c>
      <c r="I13" s="3">
        <v>0.111</v>
      </c>
      <c r="J13" s="3">
        <v>0.11700000000000001</v>
      </c>
      <c r="K13" s="3">
        <v>5.8999999999999997E-2</v>
      </c>
      <c r="L13" s="3">
        <v>5.6000000000000001E-2</v>
      </c>
      <c r="M13" s="3">
        <v>5.5E-2</v>
      </c>
      <c r="N13" s="26">
        <v>562</v>
      </c>
    </row>
    <row r="14" spans="1:14" x14ac:dyDescent="0.35">
      <c r="A14" s="8" t="s">
        <v>16</v>
      </c>
      <c r="B14" s="3">
        <v>3.7999999999999999E-2</v>
      </c>
      <c r="C14" s="3">
        <v>3.7999999999999999E-2</v>
      </c>
      <c r="D14" s="3">
        <v>3.6999999999999998E-2</v>
      </c>
      <c r="E14" s="3">
        <v>4.2999999999999997E-2</v>
      </c>
      <c r="F14" s="3">
        <v>4.2000000000000003E-2</v>
      </c>
      <c r="G14" s="3">
        <v>4.2999999999999997E-2</v>
      </c>
      <c r="H14" s="3">
        <v>8.6999999999999994E-2</v>
      </c>
      <c r="I14" s="3">
        <v>0.08</v>
      </c>
      <c r="J14" s="3">
        <v>8.2000000000000003E-2</v>
      </c>
      <c r="K14" s="3">
        <v>6.0999999999999999E-2</v>
      </c>
      <c r="L14" s="3">
        <v>5.8000000000000003E-2</v>
      </c>
      <c r="M14" s="3">
        <v>0.06</v>
      </c>
      <c r="N14" s="26">
        <v>562</v>
      </c>
    </row>
    <row r="15" spans="1:14" x14ac:dyDescent="0.35">
      <c r="A15" s="8" t="s">
        <v>17</v>
      </c>
      <c r="B15" s="3">
        <v>3.6999999999999998E-2</v>
      </c>
      <c r="C15" s="3">
        <v>3.6999999999999998E-2</v>
      </c>
      <c r="D15" s="3">
        <v>3.6999999999999998E-2</v>
      </c>
      <c r="E15" s="3">
        <v>4.1000000000000002E-2</v>
      </c>
      <c r="F15" s="3">
        <v>4.1000000000000002E-2</v>
      </c>
      <c r="G15" s="3">
        <v>4.1000000000000002E-2</v>
      </c>
      <c r="H15" s="3">
        <v>8.4000000000000005E-2</v>
      </c>
      <c r="I15" s="3">
        <v>8.3000000000000004E-2</v>
      </c>
      <c r="J15" s="3">
        <v>8.1000000000000003E-2</v>
      </c>
      <c r="K15" s="3">
        <v>4.7E-2</v>
      </c>
      <c r="L15" s="3">
        <v>4.7E-2</v>
      </c>
      <c r="M15" s="3">
        <v>4.7E-2</v>
      </c>
      <c r="N15" s="26">
        <v>562</v>
      </c>
    </row>
    <row r="16" spans="1:14" x14ac:dyDescent="0.35">
      <c r="A16" s="8" t="s">
        <v>18</v>
      </c>
      <c r="B16" s="3">
        <v>3.9E-2</v>
      </c>
      <c r="C16" s="3">
        <v>0.04</v>
      </c>
      <c r="D16" s="3">
        <v>0.04</v>
      </c>
      <c r="E16" s="3">
        <v>4.3999999999999997E-2</v>
      </c>
      <c r="F16" s="3">
        <v>4.3999999999999997E-2</v>
      </c>
      <c r="G16" s="3">
        <v>4.3999999999999997E-2</v>
      </c>
      <c r="H16" s="3">
        <v>0.221</v>
      </c>
      <c r="I16" s="3">
        <v>0.222</v>
      </c>
      <c r="J16" s="3">
        <v>0.217</v>
      </c>
      <c r="K16" s="3">
        <v>4.7E-2</v>
      </c>
      <c r="L16" s="3">
        <v>4.7E-2</v>
      </c>
      <c r="M16" s="3">
        <v>4.8000000000000001E-2</v>
      </c>
      <c r="N16" s="26">
        <v>562</v>
      </c>
    </row>
    <row r="17" spans="1:14" x14ac:dyDescent="0.35">
      <c r="A17" s="8" t="s">
        <v>19</v>
      </c>
      <c r="B17" s="3">
        <v>3.9E-2</v>
      </c>
      <c r="C17" s="3">
        <v>3.9E-2</v>
      </c>
      <c r="D17" s="3">
        <v>3.6999999999999998E-2</v>
      </c>
      <c r="E17" s="3">
        <v>4.2999999999999997E-2</v>
      </c>
      <c r="F17" s="3">
        <v>4.4999999999999998E-2</v>
      </c>
      <c r="G17" s="3">
        <v>4.3999999999999997E-2</v>
      </c>
      <c r="H17" s="3">
        <v>0.11899999999999999</v>
      </c>
      <c r="I17" s="3">
        <v>0.127</v>
      </c>
      <c r="J17" s="3">
        <v>0.113</v>
      </c>
      <c r="K17" s="3">
        <v>4.7E-2</v>
      </c>
      <c r="L17" s="3">
        <v>4.7E-2</v>
      </c>
      <c r="M17" s="3">
        <v>4.7E-2</v>
      </c>
      <c r="N17" s="26">
        <v>562</v>
      </c>
    </row>
    <row r="18" spans="1:14" x14ac:dyDescent="0.35">
      <c r="A18" s="8" t="s">
        <v>20</v>
      </c>
      <c r="B18" s="3">
        <v>3.7999999999999999E-2</v>
      </c>
      <c r="C18" s="3">
        <v>3.7999999999999999E-2</v>
      </c>
      <c r="D18" s="3">
        <v>3.6999999999999998E-2</v>
      </c>
      <c r="E18" s="3">
        <v>4.2000000000000003E-2</v>
      </c>
      <c r="F18" s="3">
        <v>4.2000000000000003E-2</v>
      </c>
      <c r="G18" s="3">
        <v>4.2000000000000003E-2</v>
      </c>
      <c r="H18" s="3">
        <v>3.9E-2</v>
      </c>
      <c r="I18" s="3">
        <v>3.9E-2</v>
      </c>
      <c r="J18" s="3">
        <v>3.9E-2</v>
      </c>
      <c r="K18" s="3">
        <v>4.7E-2</v>
      </c>
      <c r="L18" s="3">
        <v>4.7E-2</v>
      </c>
      <c r="M18" s="3">
        <v>5.2999999999999999E-2</v>
      </c>
      <c r="N18" s="26">
        <v>562</v>
      </c>
    </row>
    <row r="19" spans="1:14" x14ac:dyDescent="0.35">
      <c r="A19" s="8" t="s">
        <v>21</v>
      </c>
      <c r="B19" s="3">
        <v>3.7999999999999999E-2</v>
      </c>
      <c r="C19" s="3">
        <v>3.6999999999999998E-2</v>
      </c>
      <c r="D19" s="3">
        <v>3.6999999999999998E-2</v>
      </c>
      <c r="E19" s="3">
        <v>9.8000000000000004E-2</v>
      </c>
      <c r="F19" s="3">
        <v>9.1999999999999998E-2</v>
      </c>
      <c r="G19" s="3">
        <v>9.0999999999999998E-2</v>
      </c>
      <c r="H19" s="3">
        <v>5.8000000000000003E-2</v>
      </c>
      <c r="I19" s="3">
        <v>5.7000000000000002E-2</v>
      </c>
      <c r="J19" s="3">
        <v>5.6000000000000001E-2</v>
      </c>
      <c r="K19" s="3">
        <v>4.9000000000000002E-2</v>
      </c>
      <c r="L19" s="3">
        <v>4.8000000000000001E-2</v>
      </c>
      <c r="M19" s="3">
        <v>4.7E-2</v>
      </c>
      <c r="N19" s="26">
        <v>562</v>
      </c>
    </row>
    <row r="21" spans="1:14" x14ac:dyDescent="0.35">
      <c r="A21" s="7" t="s">
        <v>29</v>
      </c>
      <c r="B21" s="8">
        <v>1</v>
      </c>
      <c r="C21" s="8">
        <v>2</v>
      </c>
      <c r="D21" s="8">
        <v>3</v>
      </c>
      <c r="E21" s="8">
        <v>4</v>
      </c>
      <c r="F21" s="8">
        <v>5</v>
      </c>
      <c r="G21" s="8">
        <v>6</v>
      </c>
      <c r="H21" s="8">
        <v>7</v>
      </c>
      <c r="I21" s="8">
        <v>8</v>
      </c>
      <c r="J21" s="8">
        <v>9</v>
      </c>
      <c r="K21" s="8">
        <v>10</v>
      </c>
      <c r="L21" s="8">
        <v>11</v>
      </c>
      <c r="M21" s="8">
        <v>12</v>
      </c>
    </row>
    <row r="22" spans="1:14" x14ac:dyDescent="0.35">
      <c r="A22" s="8" t="s">
        <v>14</v>
      </c>
      <c r="B22" s="3">
        <v>0.307</v>
      </c>
      <c r="C22" s="3">
        <v>0.27800000000000002</v>
      </c>
      <c r="D22" s="3">
        <v>0.26300000000000001</v>
      </c>
      <c r="E22" s="3">
        <v>0.376</v>
      </c>
      <c r="F22" s="3">
        <v>0.435</v>
      </c>
      <c r="G22" s="3">
        <v>0.41899999999999998</v>
      </c>
      <c r="H22" s="3">
        <v>0.16700000000000001</v>
      </c>
      <c r="I22" s="3">
        <v>0.185</v>
      </c>
      <c r="J22" s="3">
        <v>0.17100000000000001</v>
      </c>
      <c r="K22" s="3">
        <v>0.23699999999999999</v>
      </c>
      <c r="L22" s="3">
        <v>0.22</v>
      </c>
      <c r="M22" s="3">
        <v>0.23599999999999999</v>
      </c>
      <c r="N22" s="26">
        <v>562</v>
      </c>
    </row>
    <row r="23" spans="1:14" x14ac:dyDescent="0.35">
      <c r="A23" s="8" t="s">
        <v>15</v>
      </c>
      <c r="B23" s="3">
        <v>0.21099999999999999</v>
      </c>
      <c r="C23" s="3">
        <v>0.219</v>
      </c>
      <c r="D23" s="3">
        <v>0.23</v>
      </c>
      <c r="E23" s="3">
        <v>0.56699999999999995</v>
      </c>
      <c r="F23" s="3">
        <v>0.77300000000000002</v>
      </c>
      <c r="G23" s="3">
        <v>0.67100000000000004</v>
      </c>
      <c r="H23" s="3">
        <v>0.14000000000000001</v>
      </c>
      <c r="I23" s="3">
        <v>0.14099999999999999</v>
      </c>
      <c r="J23" s="3">
        <v>0.13300000000000001</v>
      </c>
      <c r="K23" s="3">
        <v>0.27</v>
      </c>
      <c r="L23" s="3">
        <v>0.375</v>
      </c>
      <c r="M23" s="3">
        <v>0.30099999999999999</v>
      </c>
      <c r="N23" s="26">
        <v>562</v>
      </c>
    </row>
    <row r="24" spans="1:14" x14ac:dyDescent="0.35">
      <c r="A24" s="8" t="s">
        <v>16</v>
      </c>
      <c r="B24" s="3">
        <v>0.16800000000000001</v>
      </c>
      <c r="C24" s="3">
        <v>0.154</v>
      </c>
      <c r="D24" s="3">
        <v>0.191</v>
      </c>
      <c r="E24" s="3">
        <v>1.1140000000000001</v>
      </c>
      <c r="F24" s="3">
        <v>1.093</v>
      </c>
      <c r="G24" s="3">
        <v>1.194</v>
      </c>
      <c r="H24" s="3">
        <v>0.106</v>
      </c>
      <c r="I24" s="3">
        <v>9.9000000000000005E-2</v>
      </c>
      <c r="J24" s="3">
        <v>0.108</v>
      </c>
      <c r="K24" s="3">
        <v>0.28299999999999997</v>
      </c>
      <c r="L24" s="3">
        <v>0.33800000000000002</v>
      </c>
      <c r="M24" s="3">
        <v>0.36499999999999999</v>
      </c>
      <c r="N24" s="26">
        <v>562</v>
      </c>
    </row>
    <row r="25" spans="1:14" x14ac:dyDescent="0.35">
      <c r="A25" s="8" t="s">
        <v>17</v>
      </c>
      <c r="B25" s="3">
        <v>0.115</v>
      </c>
      <c r="C25" s="3">
        <v>0.105</v>
      </c>
      <c r="D25" s="3">
        <v>0.114</v>
      </c>
      <c r="E25" s="3">
        <v>0.32300000000000001</v>
      </c>
      <c r="F25" s="3">
        <v>0.127</v>
      </c>
      <c r="G25" s="3">
        <v>0.05</v>
      </c>
      <c r="H25" s="3">
        <v>0.09</v>
      </c>
      <c r="I25" s="3">
        <v>8.3000000000000004E-2</v>
      </c>
      <c r="J25" s="3">
        <v>8.4000000000000005E-2</v>
      </c>
      <c r="K25" s="3">
        <v>4.7E-2</v>
      </c>
      <c r="L25" s="3">
        <v>4.7E-2</v>
      </c>
      <c r="M25" s="3">
        <v>4.7E-2</v>
      </c>
      <c r="N25" s="26">
        <v>562</v>
      </c>
    </row>
    <row r="26" spans="1:14" x14ac:dyDescent="0.35">
      <c r="A26" s="8" t="s">
        <v>18</v>
      </c>
      <c r="B26" s="3">
        <v>7.8E-2</v>
      </c>
      <c r="C26" s="3">
        <v>8.7999999999999995E-2</v>
      </c>
      <c r="D26" s="3">
        <v>7.1999999999999995E-2</v>
      </c>
      <c r="E26" s="3">
        <v>4.7E-2</v>
      </c>
      <c r="F26" s="3">
        <v>4.7E-2</v>
      </c>
      <c r="G26" s="3">
        <v>4.7E-2</v>
      </c>
      <c r="H26" s="3">
        <v>0.06</v>
      </c>
      <c r="I26" s="3">
        <v>0.06</v>
      </c>
      <c r="J26" s="3">
        <v>6.3E-2</v>
      </c>
      <c r="K26" s="3">
        <v>4.7E-2</v>
      </c>
      <c r="L26" s="3">
        <v>4.7E-2</v>
      </c>
      <c r="M26" s="3">
        <v>4.8000000000000001E-2</v>
      </c>
      <c r="N26" s="26">
        <v>562</v>
      </c>
    </row>
    <row r="27" spans="1:14" x14ac:dyDescent="0.35">
      <c r="A27" s="8" t="s">
        <v>19</v>
      </c>
      <c r="B27" s="3">
        <v>6.6000000000000003E-2</v>
      </c>
      <c r="C27" s="3">
        <v>6.0999999999999999E-2</v>
      </c>
      <c r="D27" s="3">
        <v>5.2999999999999999E-2</v>
      </c>
      <c r="E27" s="3">
        <v>4.7E-2</v>
      </c>
      <c r="F27" s="3">
        <v>4.7E-2</v>
      </c>
      <c r="G27" s="3">
        <v>4.7E-2</v>
      </c>
      <c r="H27" s="3">
        <v>5.6000000000000001E-2</v>
      </c>
      <c r="I27" s="3">
        <v>5.2999999999999999E-2</v>
      </c>
      <c r="J27" s="3">
        <v>5.3999999999999999E-2</v>
      </c>
      <c r="K27" s="3">
        <v>4.7E-2</v>
      </c>
      <c r="L27" s="3">
        <v>4.7E-2</v>
      </c>
      <c r="M27" s="3">
        <v>4.7E-2</v>
      </c>
      <c r="N27" s="26">
        <v>562</v>
      </c>
    </row>
    <row r="28" spans="1:14" x14ac:dyDescent="0.35">
      <c r="A28" s="8" t="s">
        <v>20</v>
      </c>
      <c r="B28" s="3">
        <v>5.2999999999999999E-2</v>
      </c>
      <c r="C28" s="3">
        <v>0.05</v>
      </c>
      <c r="D28" s="3">
        <v>0.05</v>
      </c>
      <c r="E28" s="3">
        <v>4.7E-2</v>
      </c>
      <c r="F28" s="3">
        <v>4.7E-2</v>
      </c>
      <c r="G28" s="3">
        <v>4.7E-2</v>
      </c>
      <c r="H28" s="3">
        <v>4.2000000000000003E-2</v>
      </c>
      <c r="I28" s="3">
        <v>4.9000000000000002E-2</v>
      </c>
      <c r="J28" s="3">
        <v>5.0999999999999997E-2</v>
      </c>
      <c r="K28" s="3">
        <v>4.7E-2</v>
      </c>
      <c r="L28" s="3">
        <v>4.7E-2</v>
      </c>
      <c r="M28" s="3">
        <v>4.7E-2</v>
      </c>
      <c r="N28" s="26">
        <v>562</v>
      </c>
    </row>
    <row r="29" spans="1:14" x14ac:dyDescent="0.35">
      <c r="A29" s="8" t="s">
        <v>21</v>
      </c>
      <c r="B29" s="3">
        <v>3.9E-2</v>
      </c>
      <c r="C29" s="3">
        <v>0.04</v>
      </c>
      <c r="D29" s="3">
        <v>0.04</v>
      </c>
      <c r="E29" s="3">
        <v>3.7999999999999999E-2</v>
      </c>
      <c r="F29" s="3">
        <v>3.7999999999999999E-2</v>
      </c>
      <c r="G29" s="3">
        <v>3.7999999999999999E-2</v>
      </c>
      <c r="H29" s="3">
        <v>3.9E-2</v>
      </c>
      <c r="I29" s="3">
        <v>0.04</v>
      </c>
      <c r="J29" s="3">
        <v>0.04</v>
      </c>
      <c r="K29" s="3">
        <v>3.7999999999999999E-2</v>
      </c>
      <c r="L29" s="3">
        <v>3.9E-2</v>
      </c>
      <c r="M29" s="3">
        <v>3.7999999999999999E-2</v>
      </c>
      <c r="N29" s="26">
        <v>562</v>
      </c>
    </row>
    <row r="31" spans="1:14" ht="29" x14ac:dyDescent="0.35">
      <c r="A31" s="7" t="s">
        <v>30</v>
      </c>
      <c r="B31" s="8">
        <v>1</v>
      </c>
      <c r="C31" s="8">
        <v>2</v>
      </c>
      <c r="D31" s="8">
        <v>3</v>
      </c>
      <c r="E31" s="8">
        <v>4</v>
      </c>
      <c r="F31" s="8">
        <v>5</v>
      </c>
      <c r="G31" s="8">
        <v>6</v>
      </c>
      <c r="H31" s="8">
        <v>7</v>
      </c>
      <c r="I31" s="8">
        <v>8</v>
      </c>
      <c r="J31" s="8">
        <v>9</v>
      </c>
      <c r="K31" s="8">
        <v>10</v>
      </c>
      <c r="L31" s="8">
        <v>11</v>
      </c>
      <c r="M31" s="8">
        <v>12</v>
      </c>
    </row>
    <row r="32" spans="1:14" x14ac:dyDescent="0.35">
      <c r="A32" s="8" t="s">
        <v>14</v>
      </c>
      <c r="B32" s="3">
        <v>0.30199999999999999</v>
      </c>
      <c r="C32" s="3">
        <v>0.28899999999999998</v>
      </c>
      <c r="D32" s="3">
        <v>0.309</v>
      </c>
      <c r="E32" s="3">
        <v>4.4999999999999998E-2</v>
      </c>
      <c r="F32" s="3">
        <v>4.4999999999999998E-2</v>
      </c>
      <c r="G32" s="3">
        <v>4.5999999999999999E-2</v>
      </c>
      <c r="H32" s="3">
        <v>0.17799999999999999</v>
      </c>
      <c r="I32" s="3">
        <v>0.17399999999999999</v>
      </c>
      <c r="J32" s="3">
        <v>0.18</v>
      </c>
      <c r="K32" s="3">
        <v>4.7E-2</v>
      </c>
      <c r="L32" s="3">
        <v>4.4999999999999998E-2</v>
      </c>
      <c r="M32" s="3">
        <v>4.4999999999999998E-2</v>
      </c>
      <c r="N32" s="26">
        <v>562</v>
      </c>
    </row>
    <row r="33" spans="1:14" x14ac:dyDescent="0.35">
      <c r="A33" s="8" t="s">
        <v>15</v>
      </c>
      <c r="B33" s="3">
        <v>7.1999999999999995E-2</v>
      </c>
      <c r="C33" s="3">
        <v>8.2000000000000003E-2</v>
      </c>
      <c r="D33" s="3">
        <v>7.4999999999999997E-2</v>
      </c>
      <c r="E33" s="3">
        <v>4.5999999999999999E-2</v>
      </c>
      <c r="F33" s="3">
        <v>4.7E-2</v>
      </c>
      <c r="G33" s="3">
        <v>4.7E-2</v>
      </c>
      <c r="H33" s="3">
        <v>0.125</v>
      </c>
      <c r="I33" s="3">
        <v>0.127</v>
      </c>
      <c r="J33" s="3">
        <v>0.11899999999999999</v>
      </c>
      <c r="K33" s="3">
        <v>6.0999999999999999E-2</v>
      </c>
      <c r="L33" s="3">
        <v>5.8000000000000003E-2</v>
      </c>
      <c r="M33" s="3">
        <v>5.8000000000000003E-2</v>
      </c>
      <c r="N33" s="26">
        <v>562</v>
      </c>
    </row>
    <row r="34" spans="1:14" x14ac:dyDescent="0.35">
      <c r="A34" s="8" t="s">
        <v>16</v>
      </c>
      <c r="B34" s="3">
        <v>0.04</v>
      </c>
      <c r="C34" s="3">
        <v>0.04</v>
      </c>
      <c r="D34" s="3">
        <v>0.04</v>
      </c>
      <c r="E34" s="3">
        <v>4.4999999999999998E-2</v>
      </c>
      <c r="F34" s="3">
        <v>4.5999999999999999E-2</v>
      </c>
      <c r="G34" s="3">
        <v>4.4999999999999998E-2</v>
      </c>
      <c r="H34" s="3">
        <v>8.7999999999999995E-2</v>
      </c>
      <c r="I34" s="3">
        <v>8.3000000000000004E-2</v>
      </c>
      <c r="J34" s="3">
        <v>8.4000000000000005E-2</v>
      </c>
      <c r="K34" s="3">
        <v>6.5000000000000002E-2</v>
      </c>
      <c r="L34" s="3">
        <v>6.3E-2</v>
      </c>
      <c r="M34" s="3">
        <v>6.4000000000000001E-2</v>
      </c>
      <c r="N34" s="26">
        <v>562</v>
      </c>
    </row>
    <row r="35" spans="1:14" x14ac:dyDescent="0.35">
      <c r="A35" s="8" t="s">
        <v>17</v>
      </c>
      <c r="B35" s="3">
        <v>3.7999999999999999E-2</v>
      </c>
      <c r="C35" s="3">
        <v>3.7999999999999999E-2</v>
      </c>
      <c r="D35" s="3">
        <v>3.9E-2</v>
      </c>
      <c r="E35" s="3">
        <v>4.3999999999999997E-2</v>
      </c>
      <c r="F35" s="3">
        <v>4.4999999999999998E-2</v>
      </c>
      <c r="G35" s="3">
        <v>4.7E-2</v>
      </c>
      <c r="H35" s="3">
        <v>8.6999999999999994E-2</v>
      </c>
      <c r="I35" s="3">
        <v>9.0999999999999998E-2</v>
      </c>
      <c r="J35" s="3">
        <v>8.4000000000000005E-2</v>
      </c>
      <c r="K35" s="3">
        <v>4.7E-2</v>
      </c>
      <c r="L35" s="3">
        <v>4.7E-2</v>
      </c>
      <c r="M35" s="3">
        <v>4.7E-2</v>
      </c>
      <c r="N35" s="26">
        <v>562</v>
      </c>
    </row>
    <row r="36" spans="1:14" x14ac:dyDescent="0.35">
      <c r="A36" s="8" t="s">
        <v>18</v>
      </c>
      <c r="B36" s="3">
        <v>0.17499999999999999</v>
      </c>
      <c r="C36" s="3">
        <v>0.19600000000000001</v>
      </c>
      <c r="D36" s="3">
        <v>0.13800000000000001</v>
      </c>
      <c r="E36" s="3">
        <v>4.7E-2</v>
      </c>
      <c r="F36" s="3">
        <v>4.8000000000000001E-2</v>
      </c>
      <c r="G36" s="3">
        <v>4.9000000000000002E-2</v>
      </c>
      <c r="H36" s="3">
        <v>0.216</v>
      </c>
      <c r="I36" s="3">
        <v>0.22</v>
      </c>
      <c r="J36" s="3">
        <v>0.216</v>
      </c>
      <c r="K36" s="3">
        <v>4.7E-2</v>
      </c>
      <c r="L36" s="3">
        <v>4.7E-2</v>
      </c>
      <c r="M36" s="3">
        <v>4.7E-2</v>
      </c>
      <c r="N36" s="26">
        <v>562</v>
      </c>
    </row>
    <row r="37" spans="1:14" x14ac:dyDescent="0.35">
      <c r="A37" s="8" t="s">
        <v>19</v>
      </c>
      <c r="B37" s="3">
        <v>6.3E-2</v>
      </c>
      <c r="C37" s="3">
        <v>6.0999999999999999E-2</v>
      </c>
      <c r="D37" s="3">
        <v>0.05</v>
      </c>
      <c r="E37" s="3">
        <v>4.7E-2</v>
      </c>
      <c r="F37" s="3">
        <v>4.8000000000000001E-2</v>
      </c>
      <c r="G37" s="3">
        <v>4.8000000000000001E-2</v>
      </c>
      <c r="H37" s="3">
        <v>0.223</v>
      </c>
      <c r="I37" s="3">
        <v>0.25900000000000001</v>
      </c>
      <c r="J37" s="3">
        <v>0.216</v>
      </c>
      <c r="K37" s="3">
        <v>4.7E-2</v>
      </c>
      <c r="L37" s="3">
        <v>5.1999999999999998E-2</v>
      </c>
      <c r="M37" s="3">
        <v>4.7E-2</v>
      </c>
      <c r="N37" s="26">
        <v>562</v>
      </c>
    </row>
    <row r="38" spans="1:14" x14ac:dyDescent="0.35">
      <c r="A38" s="8" t="s">
        <v>20</v>
      </c>
      <c r="B38" s="3">
        <v>0.04</v>
      </c>
      <c r="C38" s="3">
        <v>0.04</v>
      </c>
      <c r="D38" s="3">
        <v>0.04</v>
      </c>
      <c r="E38" s="3">
        <v>4.4999999999999998E-2</v>
      </c>
      <c r="F38" s="3">
        <v>4.3999999999999997E-2</v>
      </c>
      <c r="G38" s="3">
        <v>4.3999999999999997E-2</v>
      </c>
      <c r="H38" s="3">
        <v>4.2000000000000003E-2</v>
      </c>
      <c r="I38" s="3">
        <v>4.1000000000000002E-2</v>
      </c>
      <c r="J38" s="3">
        <v>4.2000000000000003E-2</v>
      </c>
      <c r="K38" s="3">
        <v>4.7E-2</v>
      </c>
      <c r="L38" s="3">
        <v>4.8000000000000001E-2</v>
      </c>
      <c r="M38" s="3">
        <v>5.3999999999999999E-2</v>
      </c>
      <c r="N38" s="26">
        <v>562</v>
      </c>
    </row>
    <row r="39" spans="1:14" x14ac:dyDescent="0.35">
      <c r="A39" s="8" t="s">
        <v>21</v>
      </c>
      <c r="B39" s="3">
        <v>3.7999999999999999E-2</v>
      </c>
      <c r="C39" s="3">
        <v>3.7999999999999999E-2</v>
      </c>
      <c r="D39" s="3">
        <v>3.7999999999999999E-2</v>
      </c>
      <c r="E39" s="3">
        <v>9.7000000000000003E-2</v>
      </c>
      <c r="F39" s="3">
        <v>9.6000000000000002E-2</v>
      </c>
      <c r="G39" s="3">
        <v>9.5000000000000001E-2</v>
      </c>
      <c r="H39" s="3">
        <v>6.0999999999999999E-2</v>
      </c>
      <c r="I39" s="3">
        <v>6.0999999999999999E-2</v>
      </c>
      <c r="J39" s="3">
        <v>0.06</v>
      </c>
      <c r="K39" s="3">
        <v>4.9000000000000002E-2</v>
      </c>
      <c r="L39" s="3">
        <v>4.8000000000000001E-2</v>
      </c>
      <c r="M39" s="3">
        <v>4.7E-2</v>
      </c>
      <c r="N39" s="26">
        <v>562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2E09-EB0C-4DAB-9B15-90F362800D69}">
  <dimension ref="A1:M49"/>
  <sheetViews>
    <sheetView workbookViewId="0">
      <selection activeCell="O25" sqref="O25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14</v>
      </c>
      <c r="B2" s="3">
        <v>0.17499999999999999</v>
      </c>
      <c r="C2" s="3">
        <v>0.16</v>
      </c>
      <c r="D2" s="3">
        <v>0.13900000000000001</v>
      </c>
      <c r="E2" s="3" t="s">
        <v>23</v>
      </c>
      <c r="F2" s="3">
        <v>0.23100000000000001</v>
      </c>
      <c r="G2" s="3">
        <v>0.223</v>
      </c>
      <c r="H2" s="3">
        <v>3.9E-2</v>
      </c>
      <c r="I2" s="3">
        <v>0.04</v>
      </c>
      <c r="J2" s="3">
        <v>0.04</v>
      </c>
      <c r="K2" s="3">
        <v>4.1000000000000002E-2</v>
      </c>
      <c r="L2" s="3">
        <v>0.04</v>
      </c>
      <c r="M2" s="3">
        <v>4.2000000000000003E-2</v>
      </c>
    </row>
    <row r="3" spans="1:13" x14ac:dyDescent="0.35">
      <c r="A3" s="8" t="s">
        <v>15</v>
      </c>
      <c r="B3" s="3">
        <v>0.106</v>
      </c>
      <c r="C3" s="3">
        <v>0.115</v>
      </c>
      <c r="D3" s="3">
        <v>0.14899999999999999</v>
      </c>
      <c r="E3" s="3" t="s">
        <v>23</v>
      </c>
      <c r="F3" s="3">
        <v>0.49</v>
      </c>
      <c r="G3" s="3">
        <v>0.45100000000000001</v>
      </c>
      <c r="H3" s="3">
        <v>4.1000000000000002E-2</v>
      </c>
      <c r="I3" s="3">
        <v>3.9E-2</v>
      </c>
      <c r="J3" s="3">
        <v>0.04</v>
      </c>
      <c r="K3" s="3">
        <v>4.2999999999999997E-2</v>
      </c>
      <c r="L3" s="3">
        <v>4.3999999999999997E-2</v>
      </c>
      <c r="M3" s="3">
        <v>4.2999999999999997E-2</v>
      </c>
    </row>
    <row r="4" spans="1:13" x14ac:dyDescent="0.35">
      <c r="A4" s="8" t="s">
        <v>16</v>
      </c>
      <c r="B4" s="3">
        <v>9.6000000000000002E-2</v>
      </c>
      <c r="C4" s="3">
        <v>0.09</v>
      </c>
      <c r="D4" s="3">
        <v>0.115</v>
      </c>
      <c r="E4" s="3">
        <v>1.089</v>
      </c>
      <c r="F4" s="3">
        <v>0.999</v>
      </c>
      <c r="G4" s="3" t="s">
        <v>23</v>
      </c>
      <c r="H4" s="3">
        <v>3.9E-2</v>
      </c>
      <c r="I4" s="3">
        <v>3.9E-2</v>
      </c>
      <c r="J4" s="3">
        <v>3.9E-2</v>
      </c>
      <c r="K4" s="3">
        <v>4.2000000000000003E-2</v>
      </c>
      <c r="L4" s="3">
        <v>4.4999999999999998E-2</v>
      </c>
      <c r="M4" s="3">
        <v>4.7E-2</v>
      </c>
    </row>
    <row r="5" spans="1:13" x14ac:dyDescent="0.35">
      <c r="A5" s="8" t="s">
        <v>17</v>
      </c>
      <c r="B5" s="3">
        <v>7.6999999999999999E-2</v>
      </c>
      <c r="C5" s="3">
        <v>7.0000000000000007E-2</v>
      </c>
      <c r="D5" s="3">
        <v>7.6999999999999999E-2</v>
      </c>
      <c r="E5" s="3">
        <v>4.9000000000000002E-2</v>
      </c>
      <c r="F5" s="3">
        <v>0.06</v>
      </c>
      <c r="G5" s="3">
        <v>4.7E-2</v>
      </c>
      <c r="H5" s="3">
        <v>3.9E-2</v>
      </c>
      <c r="I5" s="3">
        <v>0.04</v>
      </c>
      <c r="J5" s="3">
        <v>3.9E-2</v>
      </c>
      <c r="K5" s="3">
        <v>4.7E-2</v>
      </c>
      <c r="L5" s="3">
        <v>4.7E-2</v>
      </c>
      <c r="M5" s="3">
        <v>4.7E-2</v>
      </c>
    </row>
    <row r="6" spans="1:13" x14ac:dyDescent="0.35">
      <c r="A6" s="8" t="s">
        <v>18</v>
      </c>
      <c r="B6" s="3">
        <v>5.6000000000000001E-2</v>
      </c>
      <c r="C6" s="3" t="s">
        <v>23</v>
      </c>
      <c r="D6" s="3">
        <v>5.5E-2</v>
      </c>
      <c r="E6" s="3">
        <v>4.7E-2</v>
      </c>
      <c r="F6" s="3">
        <v>4.7E-2</v>
      </c>
      <c r="G6" s="3">
        <v>4.7E-2</v>
      </c>
      <c r="H6" s="3">
        <v>3.7999999999999999E-2</v>
      </c>
      <c r="I6" s="3">
        <v>3.9E-2</v>
      </c>
      <c r="J6" s="3">
        <v>3.7999999999999999E-2</v>
      </c>
      <c r="K6" s="3">
        <v>4.7E-2</v>
      </c>
      <c r="L6" s="3">
        <v>4.7E-2</v>
      </c>
      <c r="M6" s="3">
        <v>4.7E-2</v>
      </c>
    </row>
    <row r="7" spans="1:13" x14ac:dyDescent="0.35">
      <c r="A7" s="8" t="s">
        <v>19</v>
      </c>
      <c r="B7" s="3">
        <v>4.7E-2</v>
      </c>
      <c r="C7" s="3">
        <v>4.4999999999999998E-2</v>
      </c>
      <c r="D7" s="3">
        <v>4.8000000000000001E-2</v>
      </c>
      <c r="E7" s="3">
        <v>4.7E-2</v>
      </c>
      <c r="F7" s="3">
        <v>4.7E-2</v>
      </c>
      <c r="G7" s="3">
        <v>4.7E-2</v>
      </c>
      <c r="H7" s="3">
        <v>3.7999999999999999E-2</v>
      </c>
      <c r="I7" s="3">
        <v>3.7999999999999999E-2</v>
      </c>
      <c r="J7" s="3">
        <v>3.7999999999999999E-2</v>
      </c>
      <c r="K7" s="3">
        <v>4.7E-2</v>
      </c>
      <c r="L7" s="3">
        <v>4.7E-2</v>
      </c>
      <c r="M7" s="3">
        <v>4.7E-2</v>
      </c>
    </row>
    <row r="8" spans="1:13" x14ac:dyDescent="0.35">
      <c r="A8" s="8" t="s">
        <v>20</v>
      </c>
      <c r="B8" s="3">
        <v>4.3999999999999997E-2</v>
      </c>
      <c r="C8" s="3">
        <v>4.1000000000000002E-2</v>
      </c>
      <c r="D8" s="3">
        <v>4.2000000000000003E-2</v>
      </c>
      <c r="E8" s="3">
        <v>4.7E-2</v>
      </c>
      <c r="F8" s="3">
        <v>4.7E-2</v>
      </c>
      <c r="G8" s="3">
        <v>4.7E-2</v>
      </c>
      <c r="H8" s="3">
        <v>3.7999999999999999E-2</v>
      </c>
      <c r="I8" s="3">
        <v>3.9E-2</v>
      </c>
      <c r="J8" s="3">
        <v>3.9E-2</v>
      </c>
      <c r="K8" s="3">
        <v>4.7E-2</v>
      </c>
      <c r="L8" s="3">
        <v>4.7E-2</v>
      </c>
      <c r="M8" s="3">
        <v>4.7E-2</v>
      </c>
    </row>
    <row r="9" spans="1:13" x14ac:dyDescent="0.35">
      <c r="A9" s="8" t="s">
        <v>21</v>
      </c>
      <c r="B9" s="3">
        <v>3.6999999999999998E-2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3.7999999999999999E-2</v>
      </c>
      <c r="H9" s="3">
        <v>3.7999999999999999E-2</v>
      </c>
      <c r="I9" s="3">
        <v>3.7999999999999999E-2</v>
      </c>
      <c r="J9" s="3">
        <v>3.7999999999999999E-2</v>
      </c>
      <c r="K9" s="3">
        <v>3.7999999999999999E-2</v>
      </c>
      <c r="L9" s="3">
        <v>3.7999999999999999E-2</v>
      </c>
      <c r="M9" s="3">
        <v>3.6999999999999998E-2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14</v>
      </c>
      <c r="B12" s="3">
        <v>0.307</v>
      </c>
      <c r="C12" s="3">
        <v>0.27800000000000002</v>
      </c>
      <c r="D12" s="3">
        <v>0.26300000000000001</v>
      </c>
      <c r="E12" s="3" t="s">
        <v>23</v>
      </c>
      <c r="F12" s="3">
        <v>0.435</v>
      </c>
      <c r="G12" s="3">
        <v>0.41899999999999998</v>
      </c>
      <c r="H12" s="3">
        <v>0.16700000000000001</v>
      </c>
      <c r="I12" s="3">
        <v>0.185</v>
      </c>
      <c r="J12" s="3">
        <v>0.17100000000000001</v>
      </c>
      <c r="K12" s="3">
        <v>0.23699999999999999</v>
      </c>
      <c r="L12" s="3">
        <v>0.22</v>
      </c>
      <c r="M12" s="3">
        <v>0.23599999999999999</v>
      </c>
    </row>
    <row r="13" spans="1:13" x14ac:dyDescent="0.35">
      <c r="A13" s="8" t="s">
        <v>15</v>
      </c>
      <c r="B13" s="3">
        <v>0.21099999999999999</v>
      </c>
      <c r="C13" s="3">
        <v>0.219</v>
      </c>
      <c r="D13" s="3">
        <v>0.23</v>
      </c>
      <c r="E13" s="3" t="s">
        <v>23</v>
      </c>
      <c r="F13" s="3">
        <v>0.77300000000000002</v>
      </c>
      <c r="G13" s="3">
        <v>0.67100000000000004</v>
      </c>
      <c r="H13" s="3">
        <v>0.14000000000000001</v>
      </c>
      <c r="I13" s="3">
        <v>0.14099999999999999</v>
      </c>
      <c r="J13" s="3">
        <v>0.13300000000000001</v>
      </c>
      <c r="K13" s="3">
        <v>0.27</v>
      </c>
      <c r="L13" s="3" t="s">
        <v>23</v>
      </c>
      <c r="M13" s="3">
        <v>0.30099999999999999</v>
      </c>
    </row>
    <row r="14" spans="1:13" x14ac:dyDescent="0.35">
      <c r="A14" s="8" t="s">
        <v>16</v>
      </c>
      <c r="B14" s="3">
        <v>0.16800000000000001</v>
      </c>
      <c r="C14" s="3">
        <v>0.154</v>
      </c>
      <c r="D14" s="3">
        <v>0.191</v>
      </c>
      <c r="E14" s="3">
        <v>1.1140000000000001</v>
      </c>
      <c r="F14" s="3">
        <v>1.093</v>
      </c>
      <c r="G14" s="3" t="s">
        <v>23</v>
      </c>
      <c r="H14" s="3">
        <v>0.106</v>
      </c>
      <c r="I14" s="3">
        <v>9.9000000000000005E-2</v>
      </c>
      <c r="J14" s="3">
        <v>0.108</v>
      </c>
      <c r="K14" s="3" t="s">
        <v>23</v>
      </c>
      <c r="L14" s="3">
        <v>0.33800000000000002</v>
      </c>
      <c r="M14" s="3">
        <v>0.36499999999999999</v>
      </c>
    </row>
    <row r="15" spans="1:13" x14ac:dyDescent="0.35">
      <c r="A15" s="8" t="s">
        <v>17</v>
      </c>
      <c r="B15" s="3">
        <v>0.115</v>
      </c>
      <c r="C15" s="3">
        <v>0.105</v>
      </c>
      <c r="D15" s="3">
        <v>0.114</v>
      </c>
      <c r="E15" s="3">
        <v>0.32300000000000001</v>
      </c>
      <c r="F15" s="3">
        <v>0.127</v>
      </c>
      <c r="G15" s="3">
        <v>0.05</v>
      </c>
      <c r="H15" s="3">
        <v>0.09</v>
      </c>
      <c r="I15" s="3">
        <v>8.3000000000000004E-2</v>
      </c>
      <c r="J15" s="3">
        <v>8.4000000000000005E-2</v>
      </c>
      <c r="K15" s="3">
        <v>4.7E-2</v>
      </c>
      <c r="L15" s="3">
        <v>4.7E-2</v>
      </c>
      <c r="M15" s="3">
        <v>4.7E-2</v>
      </c>
    </row>
    <row r="16" spans="1:13" x14ac:dyDescent="0.35">
      <c r="A16" s="8" t="s">
        <v>18</v>
      </c>
      <c r="B16" s="3">
        <v>7.8E-2</v>
      </c>
      <c r="C16" s="3" t="s">
        <v>23</v>
      </c>
      <c r="D16" s="3">
        <v>7.1999999999999995E-2</v>
      </c>
      <c r="E16" s="3">
        <v>4.7E-2</v>
      </c>
      <c r="F16" s="3">
        <v>4.7E-2</v>
      </c>
      <c r="G16" s="3">
        <v>4.7E-2</v>
      </c>
      <c r="H16" s="3">
        <v>0.06</v>
      </c>
      <c r="I16" s="3">
        <v>0.06</v>
      </c>
      <c r="J16" s="3">
        <v>6.3E-2</v>
      </c>
      <c r="K16" s="3">
        <v>4.7E-2</v>
      </c>
      <c r="L16" s="3">
        <v>4.7E-2</v>
      </c>
      <c r="M16" s="3">
        <v>4.8000000000000001E-2</v>
      </c>
    </row>
    <row r="17" spans="1:13" x14ac:dyDescent="0.35">
      <c r="A17" s="8" t="s">
        <v>19</v>
      </c>
      <c r="B17" s="3">
        <v>6.6000000000000003E-2</v>
      </c>
      <c r="C17" s="3">
        <v>6.0999999999999999E-2</v>
      </c>
      <c r="D17" s="3">
        <v>5.2999999999999999E-2</v>
      </c>
      <c r="E17" s="3">
        <v>4.7E-2</v>
      </c>
      <c r="F17" s="3">
        <v>4.7E-2</v>
      </c>
      <c r="G17" s="3">
        <v>4.7E-2</v>
      </c>
      <c r="H17" s="3">
        <v>5.6000000000000001E-2</v>
      </c>
      <c r="I17" s="3">
        <v>5.2999999999999999E-2</v>
      </c>
      <c r="J17" s="3">
        <v>5.3999999999999999E-2</v>
      </c>
      <c r="K17" s="3">
        <v>4.7E-2</v>
      </c>
      <c r="L17" s="3">
        <v>4.7E-2</v>
      </c>
      <c r="M17" s="3">
        <v>4.7E-2</v>
      </c>
    </row>
    <row r="18" spans="1:13" x14ac:dyDescent="0.35">
      <c r="A18" s="8" t="s">
        <v>20</v>
      </c>
      <c r="B18" s="3">
        <v>5.2999999999999999E-2</v>
      </c>
      <c r="C18" s="3">
        <v>0.05</v>
      </c>
      <c r="D18" s="3">
        <v>0.05</v>
      </c>
      <c r="E18" s="3">
        <v>4.7E-2</v>
      </c>
      <c r="F18" s="3">
        <v>4.7E-2</v>
      </c>
      <c r="G18" s="3">
        <v>4.7E-2</v>
      </c>
      <c r="H18" s="3">
        <v>4.2000000000000003E-2</v>
      </c>
      <c r="I18" s="3">
        <v>4.9000000000000002E-2</v>
      </c>
      <c r="J18" s="3">
        <v>5.0999999999999997E-2</v>
      </c>
      <c r="K18" s="3">
        <v>4.7E-2</v>
      </c>
      <c r="L18" s="3">
        <v>4.7E-2</v>
      </c>
      <c r="M18" s="3">
        <v>4.7E-2</v>
      </c>
    </row>
    <row r="19" spans="1:13" x14ac:dyDescent="0.35">
      <c r="A19" s="8" t="s">
        <v>21</v>
      </c>
      <c r="B19" s="3">
        <v>3.9E-2</v>
      </c>
      <c r="C19" s="3">
        <v>0.04</v>
      </c>
      <c r="D19" s="3">
        <v>0.04</v>
      </c>
      <c r="E19" s="3">
        <v>3.7999999999999999E-2</v>
      </c>
      <c r="F19" s="3">
        <v>3.7999999999999999E-2</v>
      </c>
      <c r="G19" s="3">
        <v>3.7999999999999999E-2</v>
      </c>
      <c r="H19" s="3">
        <v>3.9E-2</v>
      </c>
      <c r="I19" s="3">
        <v>0.04</v>
      </c>
      <c r="J19" s="3">
        <v>0.04</v>
      </c>
      <c r="K19" s="3">
        <v>3.7999999999999999E-2</v>
      </c>
      <c r="L19" s="3">
        <v>3.9E-2</v>
      </c>
      <c r="M19" s="3">
        <v>3.7999999999999999E-2</v>
      </c>
    </row>
    <row r="21" spans="1:13" x14ac:dyDescent="0.35">
      <c r="A21" s="9" t="s">
        <v>22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x14ac:dyDescent="0.35">
      <c r="A22" s="10" t="s">
        <v>14</v>
      </c>
      <c r="B22" s="11" t="s">
        <v>49</v>
      </c>
      <c r="C22" s="11" t="s">
        <v>49</v>
      </c>
      <c r="D22" s="11" t="s">
        <v>49</v>
      </c>
      <c r="E22" s="12" t="s">
        <v>50</v>
      </c>
      <c r="F22" s="12" t="s">
        <v>50</v>
      </c>
      <c r="G22" s="12" t="s">
        <v>50</v>
      </c>
      <c r="H22" s="12" t="s">
        <v>60</v>
      </c>
      <c r="I22" s="12" t="s">
        <v>60</v>
      </c>
      <c r="J22" s="12" t="s">
        <v>60</v>
      </c>
      <c r="K22" s="12" t="s">
        <v>61</v>
      </c>
      <c r="L22" s="12" t="s">
        <v>61</v>
      </c>
      <c r="M22" s="12" t="s">
        <v>61</v>
      </c>
    </row>
    <row r="23" spans="1:13" x14ac:dyDescent="0.35">
      <c r="A23" s="10" t="s">
        <v>15</v>
      </c>
      <c r="B23" s="13" t="s">
        <v>51</v>
      </c>
      <c r="C23" s="14" t="s">
        <v>51</v>
      </c>
      <c r="D23" s="14" t="s">
        <v>51</v>
      </c>
      <c r="E23" s="12" t="s">
        <v>52</v>
      </c>
      <c r="F23" s="12" t="s">
        <v>52</v>
      </c>
      <c r="G23" s="12" t="s">
        <v>52</v>
      </c>
      <c r="H23" s="15" t="s">
        <v>62</v>
      </c>
      <c r="I23" s="16" t="s">
        <v>62</v>
      </c>
      <c r="J23" t="s">
        <v>62</v>
      </c>
      <c r="K23" s="12" t="s">
        <v>63</v>
      </c>
      <c r="L23" s="12" t="s">
        <v>63</v>
      </c>
      <c r="M23" s="12" t="s">
        <v>63</v>
      </c>
    </row>
    <row r="24" spans="1:13" x14ac:dyDescent="0.35">
      <c r="A24" s="10" t="s">
        <v>16</v>
      </c>
      <c r="B24" s="11" t="s">
        <v>53</v>
      </c>
      <c r="C24" s="11" t="s">
        <v>53</v>
      </c>
      <c r="D24" s="11" t="s">
        <v>53</v>
      </c>
      <c r="E24" s="12" t="s">
        <v>54</v>
      </c>
      <c r="F24" s="12" t="s">
        <v>54</v>
      </c>
      <c r="G24" s="12" t="s">
        <v>54</v>
      </c>
      <c r="H24" s="12" t="s">
        <v>64</v>
      </c>
      <c r="I24" s="12" t="s">
        <v>64</v>
      </c>
      <c r="J24" s="12" t="s">
        <v>64</v>
      </c>
      <c r="K24" s="12" t="s">
        <v>65</v>
      </c>
      <c r="L24" s="12" t="s">
        <v>65</v>
      </c>
      <c r="M24" s="12" t="s">
        <v>65</v>
      </c>
    </row>
    <row r="25" spans="1:13" x14ac:dyDescent="0.35">
      <c r="A25" s="10" t="s">
        <v>17</v>
      </c>
      <c r="B25" s="11" t="s">
        <v>55</v>
      </c>
      <c r="C25" s="11" t="s">
        <v>55</v>
      </c>
      <c r="D25" s="11" t="s">
        <v>55</v>
      </c>
      <c r="E25" s="12" t="s">
        <v>23</v>
      </c>
      <c r="F25" s="12" t="s">
        <v>23</v>
      </c>
      <c r="G25" s="12" t="s">
        <v>23</v>
      </c>
      <c r="H25" s="17" t="s">
        <v>66</v>
      </c>
      <c r="I25" s="17" t="s">
        <v>66</v>
      </c>
      <c r="J25" s="17" t="s">
        <v>66</v>
      </c>
      <c r="K25" s="17" t="s">
        <v>67</v>
      </c>
      <c r="L25" s="17" t="s">
        <v>67</v>
      </c>
      <c r="M25" s="17" t="s">
        <v>67</v>
      </c>
    </row>
    <row r="26" spans="1:13" x14ac:dyDescent="0.35">
      <c r="A26" s="10" t="s">
        <v>18</v>
      </c>
      <c r="B26" s="11" t="s">
        <v>56</v>
      </c>
      <c r="C26" s="11" t="s">
        <v>56</v>
      </c>
      <c r="D26" s="11" t="s">
        <v>56</v>
      </c>
      <c r="E26" s="12" t="s">
        <v>23</v>
      </c>
      <c r="F26" s="12" t="s">
        <v>23</v>
      </c>
      <c r="G26" s="18" t="s">
        <v>23</v>
      </c>
      <c r="H26" s="19" t="s">
        <v>23</v>
      </c>
      <c r="I26" s="19" t="s">
        <v>23</v>
      </c>
      <c r="J26" s="19" t="s">
        <v>23</v>
      </c>
      <c r="K26" s="20" t="s">
        <v>23</v>
      </c>
      <c r="L26" s="20" t="s">
        <v>23</v>
      </c>
      <c r="M26" s="20" t="s">
        <v>23</v>
      </c>
    </row>
    <row r="27" spans="1:13" x14ac:dyDescent="0.35">
      <c r="A27" s="10" t="s">
        <v>19</v>
      </c>
      <c r="B27" s="11" t="s">
        <v>57</v>
      </c>
      <c r="C27" s="11" t="s">
        <v>57</v>
      </c>
      <c r="D27" s="11" t="s">
        <v>57</v>
      </c>
      <c r="E27" s="12" t="s">
        <v>23</v>
      </c>
      <c r="F27" s="12" t="s">
        <v>23</v>
      </c>
      <c r="G27" s="12" t="s">
        <v>23</v>
      </c>
      <c r="H27" s="21" t="s">
        <v>68</v>
      </c>
      <c r="I27" s="21" t="s">
        <v>68</v>
      </c>
      <c r="J27" s="21" t="s">
        <v>68</v>
      </c>
      <c r="K27" s="21" t="s">
        <v>23</v>
      </c>
      <c r="L27" s="21" t="s">
        <v>23</v>
      </c>
      <c r="M27" s="21" t="s">
        <v>23</v>
      </c>
    </row>
    <row r="28" spans="1:13" x14ac:dyDescent="0.35">
      <c r="A28" s="10" t="s">
        <v>20</v>
      </c>
      <c r="B28" s="11" t="s">
        <v>58</v>
      </c>
      <c r="C28" s="11" t="s">
        <v>58</v>
      </c>
      <c r="D28" s="11" t="s">
        <v>58</v>
      </c>
      <c r="E28" s="12" t="s">
        <v>23</v>
      </c>
      <c r="F28" s="12" t="s">
        <v>23</v>
      </c>
      <c r="G28" s="12" t="s">
        <v>23</v>
      </c>
      <c r="H28" s="12" t="s">
        <v>69</v>
      </c>
      <c r="I28" s="12" t="s">
        <v>69</v>
      </c>
      <c r="J28" s="12" t="s">
        <v>69</v>
      </c>
      <c r="K28" s="12" t="s">
        <v>23</v>
      </c>
      <c r="L28" s="12" t="s">
        <v>23</v>
      </c>
      <c r="M28" s="12" t="s">
        <v>23</v>
      </c>
    </row>
    <row r="29" spans="1:13" ht="25" x14ac:dyDescent="0.35">
      <c r="A29" s="10" t="s">
        <v>21</v>
      </c>
      <c r="B29" s="11" t="s">
        <v>59</v>
      </c>
      <c r="C29" s="11" t="s">
        <v>59</v>
      </c>
      <c r="D29" s="11" t="s">
        <v>59</v>
      </c>
      <c r="E29" s="12" t="s">
        <v>26</v>
      </c>
      <c r="F29" s="12" t="s">
        <v>26</v>
      </c>
      <c r="G29" s="12" t="s">
        <v>26</v>
      </c>
      <c r="H29" s="12" t="s">
        <v>70</v>
      </c>
      <c r="I29" s="12" t="s">
        <v>70</v>
      </c>
      <c r="J29" s="12" t="s">
        <v>70</v>
      </c>
      <c r="K29" s="12" t="s">
        <v>26</v>
      </c>
      <c r="L29" s="12" t="s">
        <v>26</v>
      </c>
      <c r="M29" s="12" t="s">
        <v>26</v>
      </c>
    </row>
    <row r="31" spans="1:13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16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18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19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20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21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  <row r="41" spans="1:13" x14ac:dyDescent="0.35">
      <c r="A41" s="9" t="s">
        <v>25</v>
      </c>
      <c r="B41" s="10">
        <v>1</v>
      </c>
      <c r="C41" s="10">
        <v>2</v>
      </c>
      <c r="D41" s="10">
        <v>3</v>
      </c>
      <c r="E41" s="10">
        <v>4</v>
      </c>
      <c r="F41" s="10">
        <v>5</v>
      </c>
      <c r="G41" s="10">
        <v>6</v>
      </c>
      <c r="H41" s="10">
        <v>7</v>
      </c>
      <c r="I41" s="10">
        <v>8</v>
      </c>
      <c r="J41" s="10">
        <v>9</v>
      </c>
      <c r="K41" s="10">
        <v>10</v>
      </c>
      <c r="L41" s="10">
        <v>11</v>
      </c>
      <c r="M41" s="10">
        <v>12</v>
      </c>
    </row>
    <row r="42" spans="1:13" x14ac:dyDescent="0.35">
      <c r="A42" s="10" t="s">
        <v>14</v>
      </c>
      <c r="B42" s="11">
        <v>60</v>
      </c>
      <c r="C42" s="11">
        <v>60</v>
      </c>
      <c r="D42" s="11">
        <v>60</v>
      </c>
      <c r="E42" s="12">
        <v>100</v>
      </c>
      <c r="F42" s="12">
        <v>100</v>
      </c>
      <c r="G42" s="12">
        <v>100</v>
      </c>
      <c r="H42" s="22">
        <v>60</v>
      </c>
      <c r="I42" s="22">
        <v>60</v>
      </c>
      <c r="J42" s="22">
        <v>60</v>
      </c>
      <c r="K42" s="12">
        <v>100</v>
      </c>
      <c r="L42" s="12">
        <v>100</v>
      </c>
      <c r="M42" s="12">
        <v>100</v>
      </c>
    </row>
    <row r="43" spans="1:13" x14ac:dyDescent="0.35">
      <c r="A43" s="10" t="s">
        <v>15</v>
      </c>
      <c r="B43" s="14">
        <v>45</v>
      </c>
      <c r="C43" s="14">
        <v>45</v>
      </c>
      <c r="D43" s="14">
        <v>45</v>
      </c>
      <c r="E43" s="12">
        <v>250</v>
      </c>
      <c r="F43" s="12">
        <v>250</v>
      </c>
      <c r="G43" s="18">
        <v>250</v>
      </c>
      <c r="H43" s="23">
        <v>45</v>
      </c>
      <c r="I43" s="23">
        <v>45</v>
      </c>
      <c r="J43" s="23">
        <v>45</v>
      </c>
      <c r="K43" s="24">
        <v>250</v>
      </c>
      <c r="L43" s="12">
        <v>250</v>
      </c>
      <c r="M43" s="12">
        <v>250</v>
      </c>
    </row>
    <row r="44" spans="1:13" x14ac:dyDescent="0.35">
      <c r="A44" s="10" t="s">
        <v>16</v>
      </c>
      <c r="B44" s="11">
        <v>30</v>
      </c>
      <c r="C44" s="11">
        <v>30</v>
      </c>
      <c r="D44" s="11">
        <v>30</v>
      </c>
      <c r="E44" s="12">
        <v>500</v>
      </c>
      <c r="F44" s="12">
        <v>500</v>
      </c>
      <c r="G44" s="12">
        <v>500</v>
      </c>
      <c r="H44" s="25">
        <v>30</v>
      </c>
      <c r="I44" s="25">
        <v>30</v>
      </c>
      <c r="J44" s="25">
        <v>30</v>
      </c>
      <c r="K44" s="12">
        <v>500</v>
      </c>
      <c r="L44" s="12">
        <v>500</v>
      </c>
      <c r="M44" s="12">
        <v>500</v>
      </c>
    </row>
    <row r="45" spans="1:13" x14ac:dyDescent="0.35">
      <c r="A45" s="10" t="s">
        <v>17</v>
      </c>
      <c r="B45" s="11">
        <v>18</v>
      </c>
      <c r="C45" s="11">
        <v>18</v>
      </c>
      <c r="D45" s="11">
        <v>18</v>
      </c>
      <c r="E45" s="12"/>
      <c r="F45" s="12"/>
      <c r="G45" s="12"/>
      <c r="H45" s="11">
        <v>18</v>
      </c>
      <c r="I45" s="11">
        <v>18</v>
      </c>
      <c r="J45" s="11">
        <v>18</v>
      </c>
      <c r="K45" s="11">
        <v>9</v>
      </c>
      <c r="L45" s="11">
        <v>9</v>
      </c>
      <c r="M45" s="11">
        <v>9</v>
      </c>
    </row>
    <row r="46" spans="1:13" x14ac:dyDescent="0.35">
      <c r="A46" s="10" t="s">
        <v>18</v>
      </c>
      <c r="B46" s="11">
        <v>9</v>
      </c>
      <c r="C46" s="11">
        <v>9</v>
      </c>
      <c r="D46" s="11">
        <v>9</v>
      </c>
      <c r="E46" s="12"/>
      <c r="F46" s="12"/>
      <c r="G46" s="12"/>
      <c r="H46" s="11"/>
      <c r="I46" s="11"/>
      <c r="J46" s="11"/>
      <c r="K46" s="12"/>
      <c r="L46" s="12"/>
      <c r="M46" s="12"/>
    </row>
    <row r="47" spans="1:13" x14ac:dyDescent="0.35">
      <c r="A47" s="10" t="s">
        <v>19</v>
      </c>
      <c r="B47" s="11">
        <v>6</v>
      </c>
      <c r="C47" s="11">
        <v>6</v>
      </c>
      <c r="D47" s="11">
        <v>6</v>
      </c>
      <c r="E47" s="12"/>
      <c r="F47" s="12"/>
      <c r="G47" s="12"/>
      <c r="H47" s="11">
        <v>6</v>
      </c>
      <c r="I47" s="11">
        <v>6</v>
      </c>
      <c r="J47" s="11">
        <v>6</v>
      </c>
      <c r="K47" s="12"/>
      <c r="L47" s="12"/>
      <c r="M47" s="12"/>
    </row>
    <row r="48" spans="1:13" x14ac:dyDescent="0.35">
      <c r="A48" s="10" t="s">
        <v>20</v>
      </c>
      <c r="B48" s="11">
        <v>3</v>
      </c>
      <c r="C48" s="11">
        <v>3</v>
      </c>
      <c r="D48" s="11">
        <v>3</v>
      </c>
      <c r="E48" s="12"/>
      <c r="F48" s="12"/>
      <c r="G48" s="12"/>
      <c r="H48" s="11">
        <v>3</v>
      </c>
      <c r="I48" s="11">
        <v>3</v>
      </c>
      <c r="J48" s="11">
        <v>3</v>
      </c>
      <c r="K48" s="12"/>
      <c r="L48" s="12"/>
      <c r="M48" s="12"/>
    </row>
    <row r="49" spans="1:13" ht="17.25" customHeight="1" x14ac:dyDescent="0.35">
      <c r="A49" s="10" t="s">
        <v>21</v>
      </c>
      <c r="B49" s="11">
        <v>0.6</v>
      </c>
      <c r="C49" s="11">
        <v>0.6</v>
      </c>
      <c r="D49" s="11">
        <v>0.6</v>
      </c>
      <c r="E49" s="12">
        <v>0</v>
      </c>
      <c r="F49" s="12">
        <v>0</v>
      </c>
      <c r="G49" s="12">
        <v>0</v>
      </c>
      <c r="H49" s="11">
        <v>0.6</v>
      </c>
      <c r="I49" s="11">
        <v>0.6</v>
      </c>
      <c r="J49" s="11">
        <v>0.6</v>
      </c>
      <c r="K49" s="12">
        <v>0</v>
      </c>
      <c r="L49" s="12">
        <v>0</v>
      </c>
      <c r="M49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53F7-D700-4E03-8996-A4AD11855572}">
  <dimension ref="A1:M39"/>
  <sheetViews>
    <sheetView workbookViewId="0">
      <selection activeCell="N24" sqref="N24"/>
    </sheetView>
  </sheetViews>
  <sheetFormatPr defaultRowHeight="14.5" x14ac:dyDescent="0.35"/>
  <cols>
    <col min="1" max="1" width="11.26953125" customWidth="1"/>
    <col min="5" max="5" width="17" customWidth="1"/>
    <col min="6" max="7" width="19.54296875" customWidth="1"/>
    <col min="8" max="10" width="20.26953125" customWidth="1"/>
    <col min="11" max="13" width="16.8164062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14</v>
      </c>
      <c r="B2" s="3">
        <v>0.14499999999999999</v>
      </c>
      <c r="C2" s="3">
        <v>0.155</v>
      </c>
      <c r="D2" s="3">
        <v>0.14599999999999999</v>
      </c>
      <c r="E2" s="3">
        <v>4.2000000000000003E-2</v>
      </c>
      <c r="F2" s="3">
        <v>4.1000000000000002E-2</v>
      </c>
      <c r="G2" s="3">
        <v>4.1000000000000002E-2</v>
      </c>
      <c r="H2" s="3">
        <v>0.17799999999999999</v>
      </c>
      <c r="I2" s="3">
        <v>0.17199999999999999</v>
      </c>
      <c r="J2" s="3">
        <v>0.17</v>
      </c>
      <c r="K2" s="3">
        <v>4.2999999999999997E-2</v>
      </c>
      <c r="L2" s="3">
        <v>4.2999999999999997E-2</v>
      </c>
      <c r="M2" s="3">
        <v>4.2999999999999997E-2</v>
      </c>
    </row>
    <row r="3" spans="1:13" x14ac:dyDescent="0.35">
      <c r="A3" s="8" t="s">
        <v>15</v>
      </c>
      <c r="B3" s="3">
        <v>5.2999999999999999E-2</v>
      </c>
      <c r="C3" s="3">
        <v>0.05</v>
      </c>
      <c r="D3" s="3">
        <v>5.0999999999999997E-2</v>
      </c>
      <c r="E3" s="3">
        <v>4.5999999999999999E-2</v>
      </c>
      <c r="F3" s="3">
        <v>4.2999999999999997E-2</v>
      </c>
      <c r="G3" s="3">
        <v>4.2999999999999997E-2</v>
      </c>
      <c r="H3" s="3">
        <v>0.123</v>
      </c>
      <c r="I3" s="3">
        <v>0.111</v>
      </c>
      <c r="J3" s="3">
        <v>0.11700000000000001</v>
      </c>
      <c r="K3" s="3">
        <v>5.8999999999999997E-2</v>
      </c>
      <c r="L3" s="3">
        <v>5.6000000000000001E-2</v>
      </c>
      <c r="M3" s="3">
        <v>5.5E-2</v>
      </c>
    </row>
    <row r="4" spans="1:13" x14ac:dyDescent="0.35">
      <c r="A4" s="8" t="s">
        <v>16</v>
      </c>
      <c r="B4" s="3">
        <v>3.7999999999999999E-2</v>
      </c>
      <c r="C4" s="3">
        <v>3.7999999999999999E-2</v>
      </c>
      <c r="D4" s="3">
        <v>3.6999999999999998E-2</v>
      </c>
      <c r="E4" s="3">
        <v>4.2999999999999997E-2</v>
      </c>
      <c r="F4" s="3">
        <v>4.2000000000000003E-2</v>
      </c>
      <c r="G4" s="3">
        <v>4.2999999999999997E-2</v>
      </c>
      <c r="H4" s="3">
        <v>8.6999999999999994E-2</v>
      </c>
      <c r="I4" s="3">
        <v>0.08</v>
      </c>
      <c r="J4" s="3">
        <v>8.2000000000000003E-2</v>
      </c>
      <c r="K4" s="3">
        <v>6.0999999999999999E-2</v>
      </c>
      <c r="L4" s="3">
        <v>5.8000000000000003E-2</v>
      </c>
      <c r="M4" s="3">
        <v>0.06</v>
      </c>
    </row>
    <row r="5" spans="1:13" x14ac:dyDescent="0.35">
      <c r="A5" s="8" t="s">
        <v>17</v>
      </c>
      <c r="B5" s="3">
        <v>3.6999999999999998E-2</v>
      </c>
      <c r="C5" s="3">
        <v>3.6999999999999998E-2</v>
      </c>
      <c r="D5" s="3">
        <v>3.6999999999999998E-2</v>
      </c>
      <c r="E5" s="3">
        <v>4.1000000000000002E-2</v>
      </c>
      <c r="F5" s="3">
        <v>4.1000000000000002E-2</v>
      </c>
      <c r="G5" s="3">
        <v>4.1000000000000002E-2</v>
      </c>
      <c r="H5" s="3">
        <v>8.4000000000000005E-2</v>
      </c>
      <c r="I5" s="3">
        <v>8.3000000000000004E-2</v>
      </c>
      <c r="J5" s="3">
        <v>8.1000000000000003E-2</v>
      </c>
      <c r="K5" s="3">
        <v>4.7E-2</v>
      </c>
      <c r="L5" s="3">
        <v>4.7E-2</v>
      </c>
      <c r="M5" s="3">
        <v>4.7E-2</v>
      </c>
    </row>
    <row r="6" spans="1:13" x14ac:dyDescent="0.35">
      <c r="A6" s="8" t="s">
        <v>18</v>
      </c>
      <c r="B6" s="3">
        <v>3.9E-2</v>
      </c>
      <c r="C6" s="3">
        <v>0.04</v>
      </c>
      <c r="D6" s="3">
        <v>0.04</v>
      </c>
      <c r="E6" s="3">
        <v>4.3999999999999997E-2</v>
      </c>
      <c r="F6" s="3">
        <v>4.3999999999999997E-2</v>
      </c>
      <c r="G6" s="3">
        <v>4.3999999999999997E-2</v>
      </c>
      <c r="H6" s="3">
        <v>0.221</v>
      </c>
      <c r="I6" s="3">
        <v>0.222</v>
      </c>
      <c r="J6" s="3">
        <v>0.217</v>
      </c>
      <c r="K6" s="3">
        <v>4.7E-2</v>
      </c>
      <c r="L6" s="3">
        <v>4.7E-2</v>
      </c>
      <c r="M6" s="3">
        <v>4.8000000000000001E-2</v>
      </c>
    </row>
    <row r="7" spans="1:13" x14ac:dyDescent="0.35">
      <c r="A7" s="8" t="s">
        <v>19</v>
      </c>
      <c r="B7" s="3">
        <v>3.9E-2</v>
      </c>
      <c r="C7" s="3">
        <v>3.9E-2</v>
      </c>
      <c r="D7" s="3">
        <v>3.6999999999999998E-2</v>
      </c>
      <c r="E7" s="3">
        <v>4.2999999999999997E-2</v>
      </c>
      <c r="F7" s="3">
        <v>4.4999999999999998E-2</v>
      </c>
      <c r="G7" s="3">
        <v>4.3999999999999997E-2</v>
      </c>
      <c r="H7" s="3">
        <v>0.11899999999999999</v>
      </c>
      <c r="I7" s="3">
        <v>0.127</v>
      </c>
      <c r="J7" s="3">
        <v>0.113</v>
      </c>
      <c r="K7" s="3">
        <v>4.7E-2</v>
      </c>
      <c r="L7" s="3">
        <v>4.7E-2</v>
      </c>
      <c r="M7" s="3">
        <v>4.7E-2</v>
      </c>
    </row>
    <row r="8" spans="1:13" x14ac:dyDescent="0.35">
      <c r="A8" s="8" t="s">
        <v>20</v>
      </c>
      <c r="B8" s="3">
        <v>3.7999999999999999E-2</v>
      </c>
      <c r="C8" s="3">
        <v>3.7999999999999999E-2</v>
      </c>
      <c r="D8" s="3">
        <v>3.6999999999999998E-2</v>
      </c>
      <c r="E8" s="3">
        <v>4.2000000000000003E-2</v>
      </c>
      <c r="F8" s="3">
        <v>4.2000000000000003E-2</v>
      </c>
      <c r="G8" s="3">
        <v>4.2000000000000003E-2</v>
      </c>
      <c r="H8" s="3">
        <v>3.9E-2</v>
      </c>
      <c r="I8" s="3">
        <v>3.9E-2</v>
      </c>
      <c r="J8" s="3">
        <v>3.9E-2</v>
      </c>
      <c r="K8" s="3">
        <v>4.7E-2</v>
      </c>
      <c r="L8" s="3">
        <v>4.7E-2</v>
      </c>
      <c r="M8" s="3">
        <v>5.2999999999999999E-2</v>
      </c>
    </row>
    <row r="9" spans="1:13" x14ac:dyDescent="0.35">
      <c r="A9" s="8" t="s">
        <v>21</v>
      </c>
      <c r="B9" s="3">
        <v>3.7999999999999999E-2</v>
      </c>
      <c r="C9" s="3">
        <v>3.6999999999999998E-2</v>
      </c>
      <c r="D9" s="3">
        <v>3.6999999999999998E-2</v>
      </c>
      <c r="E9" s="3">
        <v>9.8000000000000004E-2</v>
      </c>
      <c r="F9" s="3">
        <v>9.1999999999999998E-2</v>
      </c>
      <c r="G9" s="3">
        <v>9.0999999999999998E-2</v>
      </c>
      <c r="H9" s="3">
        <v>5.8000000000000003E-2</v>
      </c>
      <c r="I9" s="3">
        <v>5.7000000000000002E-2</v>
      </c>
      <c r="J9" s="3">
        <v>5.6000000000000001E-2</v>
      </c>
      <c r="K9" s="3">
        <v>4.9000000000000002E-2</v>
      </c>
      <c r="L9" s="3">
        <v>4.8000000000000001E-2</v>
      </c>
      <c r="M9" s="3">
        <v>4.7E-2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14</v>
      </c>
      <c r="B12" s="3">
        <v>0.30199999999999999</v>
      </c>
      <c r="C12" s="3">
        <v>0.28899999999999998</v>
      </c>
      <c r="D12" s="3">
        <v>0.309</v>
      </c>
      <c r="E12" s="3">
        <v>4.4999999999999998E-2</v>
      </c>
      <c r="F12" s="3">
        <v>4.4999999999999998E-2</v>
      </c>
      <c r="G12" s="3">
        <v>4.5999999999999999E-2</v>
      </c>
      <c r="H12" s="3">
        <v>0.17799999999999999</v>
      </c>
      <c r="I12" s="3">
        <v>0.17399999999999999</v>
      </c>
      <c r="J12" s="3">
        <v>0.18</v>
      </c>
      <c r="K12" s="3">
        <v>4.7E-2</v>
      </c>
      <c r="L12" s="3">
        <v>4.4999999999999998E-2</v>
      </c>
      <c r="M12" s="3">
        <v>4.4999999999999998E-2</v>
      </c>
    </row>
    <row r="13" spans="1:13" x14ac:dyDescent="0.35">
      <c r="A13" s="8" t="s">
        <v>15</v>
      </c>
      <c r="B13" s="3">
        <v>7.1999999999999995E-2</v>
      </c>
      <c r="C13" s="3">
        <v>8.2000000000000003E-2</v>
      </c>
      <c r="D13" s="3">
        <v>7.4999999999999997E-2</v>
      </c>
      <c r="E13" s="3">
        <v>4.5999999999999999E-2</v>
      </c>
      <c r="F13" s="3">
        <v>4.7E-2</v>
      </c>
      <c r="G13" s="3">
        <v>4.7E-2</v>
      </c>
      <c r="H13" s="3">
        <v>0.125</v>
      </c>
      <c r="I13" s="3">
        <v>0.127</v>
      </c>
      <c r="J13" s="3">
        <v>0.11899999999999999</v>
      </c>
      <c r="K13" s="3">
        <v>6.0999999999999999E-2</v>
      </c>
      <c r="L13" s="3">
        <v>5.8000000000000003E-2</v>
      </c>
      <c r="M13" s="3">
        <v>5.8000000000000003E-2</v>
      </c>
    </row>
    <row r="14" spans="1:13" x14ac:dyDescent="0.35">
      <c r="A14" s="8" t="s">
        <v>16</v>
      </c>
      <c r="B14" s="3">
        <v>0.04</v>
      </c>
      <c r="C14" s="3">
        <v>0.04</v>
      </c>
      <c r="D14" s="3">
        <v>0.04</v>
      </c>
      <c r="E14" s="3">
        <v>4.4999999999999998E-2</v>
      </c>
      <c r="F14" s="3">
        <v>4.5999999999999999E-2</v>
      </c>
      <c r="G14" s="3">
        <v>4.4999999999999998E-2</v>
      </c>
      <c r="H14" s="3">
        <v>8.7999999999999995E-2</v>
      </c>
      <c r="I14" s="3">
        <v>8.3000000000000004E-2</v>
      </c>
      <c r="J14" s="3">
        <v>8.4000000000000005E-2</v>
      </c>
      <c r="K14" s="3">
        <v>6.5000000000000002E-2</v>
      </c>
      <c r="L14" s="3">
        <v>6.3E-2</v>
      </c>
      <c r="M14" s="3">
        <v>6.4000000000000001E-2</v>
      </c>
    </row>
    <row r="15" spans="1:13" x14ac:dyDescent="0.35">
      <c r="A15" s="8" t="s">
        <v>17</v>
      </c>
      <c r="B15" s="3">
        <v>3.7999999999999999E-2</v>
      </c>
      <c r="C15" s="3">
        <v>3.7999999999999999E-2</v>
      </c>
      <c r="D15" s="3">
        <v>3.9E-2</v>
      </c>
      <c r="E15" s="3">
        <v>4.3999999999999997E-2</v>
      </c>
      <c r="F15" s="3">
        <v>4.4999999999999998E-2</v>
      </c>
      <c r="G15" s="3">
        <v>4.7E-2</v>
      </c>
      <c r="H15" s="3">
        <v>8.6999999999999994E-2</v>
      </c>
      <c r="I15" s="3">
        <v>9.0999999999999998E-2</v>
      </c>
      <c r="J15" s="3">
        <v>8.4000000000000005E-2</v>
      </c>
      <c r="K15" s="3">
        <v>4.7E-2</v>
      </c>
      <c r="L15" s="3">
        <v>4.7E-2</v>
      </c>
      <c r="M15" s="3">
        <v>4.7E-2</v>
      </c>
    </row>
    <row r="16" spans="1:13" x14ac:dyDescent="0.35">
      <c r="A16" s="8" t="s">
        <v>18</v>
      </c>
      <c r="B16" s="3">
        <v>0.17499999999999999</v>
      </c>
      <c r="C16" s="3">
        <v>0.19600000000000001</v>
      </c>
      <c r="D16" s="3">
        <v>0.13800000000000001</v>
      </c>
      <c r="E16" s="3">
        <v>4.7E-2</v>
      </c>
      <c r="F16" s="3">
        <v>4.8000000000000001E-2</v>
      </c>
      <c r="G16" s="3">
        <v>4.9000000000000002E-2</v>
      </c>
      <c r="H16" s="3">
        <v>0.216</v>
      </c>
      <c r="I16" s="3">
        <v>0.22</v>
      </c>
      <c r="J16" s="3">
        <v>0.216</v>
      </c>
      <c r="K16" s="3">
        <v>4.7E-2</v>
      </c>
      <c r="L16" s="3">
        <v>4.7E-2</v>
      </c>
      <c r="M16" s="3">
        <v>4.7E-2</v>
      </c>
    </row>
    <row r="17" spans="1:13" x14ac:dyDescent="0.35">
      <c r="A17" s="8" t="s">
        <v>19</v>
      </c>
      <c r="B17" s="3">
        <v>6.3E-2</v>
      </c>
      <c r="C17" s="3">
        <v>6.0999999999999999E-2</v>
      </c>
      <c r="D17" s="3">
        <v>0.05</v>
      </c>
      <c r="E17" s="3">
        <v>4.7E-2</v>
      </c>
      <c r="F17" s="3">
        <v>4.8000000000000001E-2</v>
      </c>
      <c r="G17" s="3">
        <v>4.8000000000000001E-2</v>
      </c>
      <c r="H17" s="3">
        <v>0.223</v>
      </c>
      <c r="I17" s="3">
        <v>0.25900000000000001</v>
      </c>
      <c r="J17" s="3">
        <v>0.216</v>
      </c>
      <c r="K17" s="3">
        <v>4.7E-2</v>
      </c>
      <c r="L17" s="3">
        <v>5.1999999999999998E-2</v>
      </c>
      <c r="M17" s="3">
        <v>4.7E-2</v>
      </c>
    </row>
    <row r="18" spans="1:13" x14ac:dyDescent="0.35">
      <c r="A18" s="8" t="s">
        <v>20</v>
      </c>
      <c r="B18" s="3">
        <v>0.04</v>
      </c>
      <c r="C18" s="3">
        <v>0.04</v>
      </c>
      <c r="D18" s="3">
        <v>0.04</v>
      </c>
      <c r="E18" s="3">
        <v>4.4999999999999998E-2</v>
      </c>
      <c r="F18" s="3">
        <v>4.3999999999999997E-2</v>
      </c>
      <c r="G18" s="3">
        <v>4.3999999999999997E-2</v>
      </c>
      <c r="H18" s="3">
        <v>4.2000000000000003E-2</v>
      </c>
      <c r="I18" s="3">
        <v>4.1000000000000002E-2</v>
      </c>
      <c r="J18" s="3">
        <v>4.2000000000000003E-2</v>
      </c>
      <c r="K18" s="3">
        <v>4.7E-2</v>
      </c>
      <c r="L18" s="3">
        <v>4.8000000000000001E-2</v>
      </c>
      <c r="M18" s="3">
        <v>5.3999999999999999E-2</v>
      </c>
    </row>
    <row r="19" spans="1:13" x14ac:dyDescent="0.35">
      <c r="A19" s="8" t="s">
        <v>21</v>
      </c>
      <c r="B19" s="3">
        <v>3.7999999999999999E-2</v>
      </c>
      <c r="C19" s="3">
        <v>3.7999999999999999E-2</v>
      </c>
      <c r="D19" s="3">
        <v>3.7999999999999999E-2</v>
      </c>
      <c r="E19" s="3">
        <v>9.7000000000000003E-2</v>
      </c>
      <c r="F19" s="3">
        <v>9.6000000000000002E-2</v>
      </c>
      <c r="G19" s="3">
        <v>9.5000000000000001E-2</v>
      </c>
      <c r="H19" s="3">
        <v>6.0999999999999999E-2</v>
      </c>
      <c r="I19" s="3">
        <v>6.0999999999999999E-2</v>
      </c>
      <c r="J19" s="3">
        <v>0.06</v>
      </c>
      <c r="K19" s="3">
        <v>4.9000000000000002E-2</v>
      </c>
      <c r="L19" s="3">
        <v>4.8000000000000001E-2</v>
      </c>
      <c r="M19" s="3">
        <v>4.7E-2</v>
      </c>
    </row>
    <row r="21" spans="1:13" x14ac:dyDescent="0.35">
      <c r="A21" s="9" t="s">
        <v>22</v>
      </c>
      <c r="B21" s="10">
        <v>1</v>
      </c>
      <c r="C21" s="10">
        <v>2</v>
      </c>
      <c r="D21" s="10">
        <v>3</v>
      </c>
      <c r="E21" s="28">
        <v>4</v>
      </c>
      <c r="F21" s="28">
        <v>5</v>
      </c>
      <c r="G21" s="28">
        <v>6</v>
      </c>
      <c r="H21" s="28">
        <v>7</v>
      </c>
      <c r="I21" s="28">
        <v>8</v>
      </c>
      <c r="J21" s="28">
        <v>9</v>
      </c>
      <c r="K21" s="28">
        <v>10</v>
      </c>
      <c r="L21" s="28">
        <v>11</v>
      </c>
      <c r="M21" s="28">
        <v>12</v>
      </c>
    </row>
    <row r="22" spans="1:13" ht="25" x14ac:dyDescent="0.35">
      <c r="A22" s="10" t="s">
        <v>14</v>
      </c>
      <c r="B22" s="11" t="s">
        <v>49</v>
      </c>
      <c r="C22" s="11" t="s">
        <v>49</v>
      </c>
      <c r="D22" s="27" t="s">
        <v>49</v>
      </c>
      <c r="E22" s="29" t="s">
        <v>31</v>
      </c>
      <c r="F22" s="29" t="s">
        <v>31</v>
      </c>
      <c r="G22" s="29" t="s">
        <v>31</v>
      </c>
      <c r="H22" s="29" t="s">
        <v>35</v>
      </c>
      <c r="I22" s="29" t="s">
        <v>35</v>
      </c>
      <c r="J22" s="29" t="s">
        <v>35</v>
      </c>
      <c r="K22" s="29" t="s">
        <v>41</v>
      </c>
      <c r="L22" s="29" t="s">
        <v>41</v>
      </c>
      <c r="M22" s="29" t="s">
        <v>41</v>
      </c>
    </row>
    <row r="23" spans="1:13" ht="25" x14ac:dyDescent="0.35">
      <c r="A23" s="10" t="s">
        <v>15</v>
      </c>
      <c r="B23" s="11" t="s">
        <v>56</v>
      </c>
      <c r="C23" s="11" t="s">
        <v>56</v>
      </c>
      <c r="D23" s="27" t="s">
        <v>56</v>
      </c>
      <c r="E23" s="29" t="s">
        <v>32</v>
      </c>
      <c r="F23" s="29" t="s">
        <v>32</v>
      </c>
      <c r="G23" s="29" t="s">
        <v>32</v>
      </c>
      <c r="H23" s="29" t="s">
        <v>36</v>
      </c>
      <c r="I23" s="29" t="s">
        <v>36</v>
      </c>
      <c r="J23" s="29" t="s">
        <v>36</v>
      </c>
      <c r="K23" s="29" t="s">
        <v>42</v>
      </c>
      <c r="L23" s="29" t="s">
        <v>42</v>
      </c>
      <c r="M23" s="29" t="s">
        <v>42</v>
      </c>
    </row>
    <row r="24" spans="1:13" ht="25" x14ac:dyDescent="0.35">
      <c r="A24" s="10" t="s">
        <v>16</v>
      </c>
      <c r="B24" s="11" t="s">
        <v>59</v>
      </c>
      <c r="C24" s="11" t="s">
        <v>59</v>
      </c>
      <c r="D24" s="27" t="s">
        <v>59</v>
      </c>
      <c r="E24" s="29" t="s">
        <v>33</v>
      </c>
      <c r="F24" s="29" t="s">
        <v>33</v>
      </c>
      <c r="G24" s="29" t="s">
        <v>33</v>
      </c>
      <c r="H24" s="29" t="s">
        <v>37</v>
      </c>
      <c r="I24" s="29" t="s">
        <v>37</v>
      </c>
      <c r="J24" s="29" t="s">
        <v>37</v>
      </c>
      <c r="K24" s="29" t="s">
        <v>48</v>
      </c>
      <c r="L24" s="29" t="s">
        <v>48</v>
      </c>
      <c r="M24" s="29" t="s">
        <v>48</v>
      </c>
    </row>
    <row r="25" spans="1:13" ht="25" x14ac:dyDescent="0.35">
      <c r="A25" s="10" t="s">
        <v>17</v>
      </c>
      <c r="B25" s="11" t="s">
        <v>26</v>
      </c>
      <c r="C25" s="11" t="s">
        <v>26</v>
      </c>
      <c r="D25" s="27" t="s">
        <v>26</v>
      </c>
      <c r="E25" s="29" t="s">
        <v>34</v>
      </c>
      <c r="F25" s="29" t="s">
        <v>34</v>
      </c>
      <c r="G25" s="29" t="s">
        <v>34</v>
      </c>
      <c r="H25" s="29" t="s">
        <v>46</v>
      </c>
      <c r="I25" s="29" t="s">
        <v>46</v>
      </c>
      <c r="J25" s="29" t="s">
        <v>46</v>
      </c>
      <c r="K25" s="20" t="s">
        <v>23</v>
      </c>
      <c r="L25" s="20" t="s">
        <v>23</v>
      </c>
      <c r="M25" s="20" t="s">
        <v>23</v>
      </c>
    </row>
    <row r="26" spans="1:13" ht="25" x14ac:dyDescent="0.35">
      <c r="A26" s="10" t="s">
        <v>18</v>
      </c>
      <c r="B26" s="11" t="s">
        <v>60</v>
      </c>
      <c r="C26" s="11" t="s">
        <v>60</v>
      </c>
      <c r="D26" s="27" t="s">
        <v>60</v>
      </c>
      <c r="E26" s="29" t="s">
        <v>44</v>
      </c>
      <c r="F26" s="29" t="s">
        <v>44</v>
      </c>
      <c r="G26" s="29" t="s">
        <v>44</v>
      </c>
      <c r="H26" s="29" t="s">
        <v>47</v>
      </c>
      <c r="I26" s="29" t="s">
        <v>47</v>
      </c>
      <c r="J26" s="29" t="s">
        <v>47</v>
      </c>
      <c r="K26" s="20" t="s">
        <v>23</v>
      </c>
      <c r="L26" s="20" t="s">
        <v>23</v>
      </c>
      <c r="M26" s="20" t="s">
        <v>23</v>
      </c>
    </row>
    <row r="27" spans="1:13" ht="25" x14ac:dyDescent="0.35">
      <c r="A27" s="10" t="s">
        <v>19</v>
      </c>
      <c r="B27" s="11" t="s">
        <v>67</v>
      </c>
      <c r="C27" s="11" t="s">
        <v>67</v>
      </c>
      <c r="D27" s="27" t="s">
        <v>67</v>
      </c>
      <c r="E27" s="29" t="s">
        <v>43</v>
      </c>
      <c r="F27" s="29" t="s">
        <v>43</v>
      </c>
      <c r="G27" s="29" t="s">
        <v>43</v>
      </c>
      <c r="H27" s="29" t="s">
        <v>38</v>
      </c>
      <c r="I27" s="29" t="s">
        <v>38</v>
      </c>
      <c r="J27" s="29" t="s">
        <v>38</v>
      </c>
      <c r="K27" s="20" t="s">
        <v>23</v>
      </c>
      <c r="L27" s="20" t="s">
        <v>23</v>
      </c>
      <c r="M27" s="20" t="s">
        <v>23</v>
      </c>
    </row>
    <row r="28" spans="1:13" ht="25" x14ac:dyDescent="0.35">
      <c r="A28" s="10" t="s">
        <v>20</v>
      </c>
      <c r="B28" s="11" t="s">
        <v>70</v>
      </c>
      <c r="C28" s="11" t="s">
        <v>70</v>
      </c>
      <c r="D28" s="27" t="s">
        <v>70</v>
      </c>
      <c r="E28" s="29" t="s">
        <v>45</v>
      </c>
      <c r="F28" s="29" t="s">
        <v>45</v>
      </c>
      <c r="G28" s="29" t="s">
        <v>45</v>
      </c>
      <c r="H28" s="29" t="s">
        <v>39</v>
      </c>
      <c r="I28" s="29" t="s">
        <v>39</v>
      </c>
      <c r="J28" s="29" t="s">
        <v>39</v>
      </c>
      <c r="K28" s="20" t="s">
        <v>23</v>
      </c>
      <c r="L28" s="20" t="s">
        <v>23</v>
      </c>
      <c r="M28" s="20" t="s">
        <v>23</v>
      </c>
    </row>
    <row r="29" spans="1:13" ht="25" x14ac:dyDescent="0.35">
      <c r="A29" s="10" t="s">
        <v>21</v>
      </c>
      <c r="B29" s="11" t="s">
        <v>26</v>
      </c>
      <c r="C29" s="11" t="s">
        <v>26</v>
      </c>
      <c r="D29" s="27" t="s">
        <v>26</v>
      </c>
      <c r="E29" s="29" t="s">
        <v>31</v>
      </c>
      <c r="F29" s="29" t="s">
        <v>31</v>
      </c>
      <c r="G29" s="29" t="s">
        <v>31</v>
      </c>
      <c r="H29" s="29" t="s">
        <v>40</v>
      </c>
      <c r="I29" s="29" t="s">
        <v>40</v>
      </c>
      <c r="J29" s="29" t="s">
        <v>40</v>
      </c>
      <c r="K29" s="20" t="s">
        <v>23</v>
      </c>
      <c r="L29" s="20" t="s">
        <v>23</v>
      </c>
      <c r="M29" s="20" t="s">
        <v>23</v>
      </c>
    </row>
    <row r="31" spans="1:13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16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18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19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20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21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</sheetData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STDs Chk</vt:lpstr>
      <vt:lpstr>Pastes</vt:lpstr>
      <vt:lpstr>STDs</vt:lpstr>
      <vt:lpstr>Samples1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2023-06-09T15:23:07Z</dcterms:created>
  <dcterms:modified xsi:type="dcterms:W3CDTF">2024-10-25T14:54:55Z</dcterms:modified>
</cp:coreProperties>
</file>