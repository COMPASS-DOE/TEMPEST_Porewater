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nnl-my.sharepoint.com/personal/alan_roebuck_pnnl_gov/Documents/Desktop/EEMs/Processed in Matlab/TEMPEST Monthly Porewater Samples (Jul-Sept 2022)/"/>
    </mc:Choice>
  </mc:AlternateContent>
  <xr:revisionPtr revIDLastSave="640" documentId="8_{54E0EEB1-B677-4F73-9A23-F4DF571E6005}" xr6:coauthVersionLast="47" xr6:coauthVersionMax="47" xr10:uidLastSave="{57487E79-B221-436E-BF95-8EB62A703744}"/>
  <bookViews>
    <workbookView xWindow="-110" yWindow="-110" windowWidth="19420" windowHeight="10420" xr2:uid="{00000000-000D-0000-FFFF-FFFF00000000}"/>
  </bookViews>
  <sheets>
    <sheet name="log" sheetId="1" r:id="rId1"/>
    <sheet name="Sheet2" sheetId="2" r:id="rId2"/>
    <sheet name="Sheet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5" i="1" l="1"/>
  <c r="D2" i="1"/>
  <c r="D5" i="1"/>
  <c r="D18" i="1"/>
  <c r="D13" i="1"/>
  <c r="D6" i="1"/>
  <c r="D19" i="1"/>
  <c r="D14" i="1"/>
  <c r="D8" i="1"/>
  <c r="D9" i="1"/>
  <c r="D4" i="1"/>
  <c r="D12" i="1"/>
  <c r="D1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tc={C481BE6C-13F9-4658-9939-4BAFE83451ED}</author>
    <author>tc={5B6C4BB1-2F9D-4785-A02D-A7CBE1FC7D26}</author>
    <author>tc={85CCF41A-2303-495F-B21F-584431D04D23}</author>
    <author>tc={4CE7CC10-E5AF-4301-A8AA-8A4E8D1645E4}</author>
  </authors>
  <commentList>
    <comment ref="F1" authorId="0" shapeId="0" xr:uid="{C481BE6C-13F9-4658-9939-4BAFE83451ED}">
      <text>
        <t>[Threaded comment]
Your version of Excel allows you to read this threaded comment; however, any edits to it will get removed if the file is opened in a newer version of Excel. Learn more: https://go.microsoft.com/fwlink/?linkid=870924
Comment:
    Don't forget the file extension!!!!</t>
      </text>
    </comment>
    <comment ref="G1" authorId="1" shapeId="0" xr:uid="{5B6C4BB1-2F9D-4785-A02D-A7CBE1FC7D26}">
      <text>
        <t>[Threaded comment]
Your version of Excel allows you to read this threaded comment; however, any edits to it will get removed if the file is opened in a newer version of Excel. Learn more: https://go.microsoft.com/fwlink/?linkid=870924
Comment:
    Don't forget the file extension!!!!</t>
      </text>
    </comment>
    <comment ref="H1" authorId="2" shapeId="0" xr:uid="{85CCF41A-2303-495F-B21F-584431D04D23}">
      <text>
        <t>[Threaded comment]
Your version of Excel allows you to read this threaded comment; however, any edits to it will get removed if the file is opened in a newer version of Excel. Learn more: https://go.microsoft.com/fwlink/?linkid=870924
Comment:
    Don't forget the file extension!!!!</t>
      </text>
    </comment>
    <comment ref="L1" authorId="3" shapeId="0" xr:uid="{4CE7CC10-E5AF-4301-A8AA-8A4E8D1645E4}">
      <text>
        <t>[Threaded comment]
Your version of Excel allows you to read this threaded comment; however, any edits to it will get removed if the file is opened in a newer version of Excel. Learn more: https://go.microsoft.com/fwlink/?linkid=870924
Comment:
    Decimal format. e.g. 1 part water and 1 part sample equal a dilution factor of 0.5
If no dilution occurred, put 1.</t>
      </text>
    </comment>
  </commentList>
</comments>
</file>

<file path=xl/sharedStrings.xml><?xml version="1.0" encoding="utf-8"?>
<sst xmlns="http://schemas.openxmlformats.org/spreadsheetml/2006/main" count="125" uniqueCount="98">
  <si>
    <t>index</t>
  </si>
  <si>
    <t>Analysis Date</t>
  </si>
  <si>
    <t>Sample ID</t>
  </si>
  <si>
    <t>Integration Time</t>
  </si>
  <si>
    <t>Absorbance File Name</t>
  </si>
  <si>
    <t>DOC (mg/L)</t>
  </si>
  <si>
    <t>Analytical Replicate No</t>
  </si>
  <si>
    <t>EEM file name</t>
  </si>
  <si>
    <t>EEM Blank</t>
  </si>
  <si>
    <t>Sample Description 
(60 Character Max) - Will display on final EEM figure</t>
  </si>
  <si>
    <t>Raman 1s Area</t>
  </si>
  <si>
    <t>Absorbance 
Pathlength</t>
  </si>
  <si>
    <t>Dilution Factor (Decimal Format; e.g. 0.5)</t>
  </si>
  <si>
    <t>postT8Aug22</t>
  </si>
  <si>
    <t>posT8Aug22 1s (01) - Abs Spectra Graphs.dat</t>
  </si>
  <si>
    <t>preT8Aug22 1s (01) - Abs Spectra Graphs.dat</t>
  </si>
  <si>
    <t>preTea27Jul22 (01) - Abs Spectra Graphs.dat</t>
  </si>
  <si>
    <t>prT21Sep22 1s (01) - Abs Spectra Graphs.dat</t>
  </si>
  <si>
    <t>ptT21Sep 1s (01) - Abs Spectra Graphs.dat</t>
  </si>
  <si>
    <t>Tea2 1s (01) - Abs Spectra Graphs.dat</t>
  </si>
  <si>
    <t>TMPC21Sep 2sD (01) - Abs Spectra Graphs.dat</t>
  </si>
  <si>
    <t>TMPCAug08 2sD (01) - Abs Spectra Graphs.dat</t>
  </si>
  <si>
    <t>TMPCJul18 2sD (01) - Abs Spectra Graphs.dat</t>
  </si>
  <si>
    <t>TMPCJul21 2sD (01) - Abs Spectra Graphs.dat</t>
  </si>
  <si>
    <t>TMPF21Sep 2sD (01) - Abs Spectra Graphs.dat</t>
  </si>
  <si>
    <t>TMPFAug08 2sD (01) - Abs Spectra Graphs.dat</t>
  </si>
  <si>
    <t>TMPFJul21 2sD (01) - Abs Spectra Graphs.dat</t>
  </si>
  <si>
    <t>TMPJul18 2sD (01) - Abs Spectra Graphs.dat</t>
  </si>
  <si>
    <t>TMPS21Sep 2sD (01) - Abs Spectra Graphs.dat</t>
  </si>
  <si>
    <t>TMPSAug08 2sD (01) - Abs Spectra Graphs.dat</t>
  </si>
  <si>
    <t>TMPSJul18 2sD (01) - Abs Spectra Graphs.dat</t>
  </si>
  <si>
    <t>TMPSJul21 2sD (01) - Abs Spectra Graphs.dat</t>
  </si>
  <si>
    <t>posT8Aug22 1s (01) - Waterfall Plot Sample.dat</t>
  </si>
  <si>
    <t>preT8Aug22 1s (01) - Waterfall Plot Sample.dat</t>
  </si>
  <si>
    <t>preTea27Jul22 (01) - Waterfall Plot Sample.dat</t>
  </si>
  <si>
    <t>prT21Sep22 1s (01) - Waterfall Plot Sample.dat</t>
  </si>
  <si>
    <t>ptT21Sep 1s (01) - Waterfall Plot Sample.dat</t>
  </si>
  <si>
    <t>Tea2 1s (01) - Waterfall Plot Sample.dat</t>
  </si>
  <si>
    <t>TMPC21Sep 2sD (01) - Waterfall Plot Sample.dat</t>
  </si>
  <si>
    <t>TMPCAug08 2sD (01) - Waterfall Plot Sample.dat</t>
  </si>
  <si>
    <t>TMPCJul18 2sD (01) - Waterfall Plot Sample.dat</t>
  </si>
  <si>
    <t>TMPCJul21 2sD (01) - Waterfall Plot Sample.dat</t>
  </si>
  <si>
    <t>TMPF21Sep 2sD (01) - Waterfall Plot Sample.dat</t>
  </si>
  <si>
    <t>TMPFAug08 2sD (01) - Waterfall Plot Sample.dat</t>
  </si>
  <si>
    <t>TMPFJul21 2sD (01) - Waterfall Plot Sample.dat</t>
  </si>
  <si>
    <t>TMPJul18 2sD (01) - Waterfall Plot Sample.dat</t>
  </si>
  <si>
    <t>TMPS21Sep 2sD (01) - Waterfall Plot Sample.dat</t>
  </si>
  <si>
    <t>TMPSAug08 2sD (01) - Waterfall Plot Sample.dat</t>
  </si>
  <si>
    <t>TMPSJul18 2sD (01) - Waterfall Plot Sample.dat</t>
  </si>
  <si>
    <t>TMPSJul21 2sD (01) - Waterfall Plot Sample.dat</t>
  </si>
  <si>
    <t>posT8Aug22 1s (01) - Waterfall Plot Blank.dat</t>
  </si>
  <si>
    <t>preT8Aug22 1s (01) - Waterfall Plot Blank.dat</t>
  </si>
  <si>
    <t>preTea27Jul22 (01) - Waterfall Plot Blank.dat</t>
  </si>
  <si>
    <t>prT21Sep22 1s (01) - Waterfall Plot Blank.dat</t>
  </si>
  <si>
    <t>ptT21Sep 1s (01) - Waterfall Plot Blank.dat</t>
  </si>
  <si>
    <t>Tea2 1s (01) - Waterfall Plot Blank.dat</t>
  </si>
  <si>
    <t>TMPC21Sep 2sD (01) - Waterfall Plot Blank.dat</t>
  </si>
  <si>
    <t>TMPCAug08 2sD (01) - Waterfall Plot Blank.dat</t>
  </si>
  <si>
    <t>TMPCJul18 2sD (01) - Waterfall Plot Blank.dat</t>
  </si>
  <si>
    <t>TMPCJul21 2sD (01) - Waterfall Plot Blank.dat</t>
  </si>
  <si>
    <t>TMPF21Sep 2sD (01) - Waterfall Plot Blank.dat</t>
  </si>
  <si>
    <t>TMPFAug08 2sD (01) - Waterfall Plot Blank.dat</t>
  </si>
  <si>
    <t>TMPFJul21 2sD (01) - Waterfall Plot Blank.dat</t>
  </si>
  <si>
    <t>TMPJul18 2sD (01) - Waterfall Plot Blank.dat</t>
  </si>
  <si>
    <t>TMPS21Sep 2sD (01) - Waterfall Plot Blank.dat</t>
  </si>
  <si>
    <t>TMPSAug08 2sD (01) - Waterfall Plot Blank.dat</t>
  </si>
  <si>
    <t>TMPSJul18 2sD (01) - Waterfall Plot Blank.dat</t>
  </si>
  <si>
    <t>TMPSJul21 2sD (01) - Waterfall Plot Blank.dat</t>
  </si>
  <si>
    <t>na</t>
  </si>
  <si>
    <t>Pre-Run Tea SRM</t>
  </si>
  <si>
    <t>Post-Run Tea SRM</t>
  </si>
  <si>
    <t>preT8Aug22</t>
  </si>
  <si>
    <t>ptT21Sep 1s</t>
  </si>
  <si>
    <t>Tea2 1s</t>
  </si>
  <si>
    <t>Notes</t>
  </si>
  <si>
    <t>TMPFJul18</t>
  </si>
  <si>
    <t>actually run on 18Aug22 not 8Aug22</t>
  </si>
  <si>
    <t>field collected 8Aug22</t>
  </si>
  <si>
    <t>2700uL DI : 300uL sample; field collected 8Aug22</t>
  </si>
  <si>
    <t>field collected 09Sep22</t>
  </si>
  <si>
    <t>2700uL DI : 300uL sample; field collected 09Sep22</t>
  </si>
  <si>
    <t>field collected 18Jul22</t>
  </si>
  <si>
    <t>2700uL DI : 300uL sample; field collected 21Jul22</t>
  </si>
  <si>
    <t>field collected 18Jul22; Forgot to put 'F' in the identifier when it was run, but it is from the freshwater plot</t>
  </si>
  <si>
    <t>field collected 21Jul22</t>
  </si>
  <si>
    <t>TEMPEST Control Plot - 08/08/22</t>
  </si>
  <si>
    <t>TEMPEST Control Plot - 07/18/22</t>
  </si>
  <si>
    <t>TEMPEST Control Plot - 07/21/22</t>
  </si>
  <si>
    <t xml:space="preserve">TEMPEST Freshwater Plot -  08/08/22 </t>
  </si>
  <si>
    <t>TEMPEST Freshwater Plot - 07/21/22</t>
  </si>
  <si>
    <t>TEMPEST Freshwater Plot - 07/18/22</t>
  </si>
  <si>
    <t>TEMPEST Seawater Plot - 09/09/22</t>
  </si>
  <si>
    <t xml:space="preserve">TEMPEST Freshwater Plot - 09/09/22 </t>
  </si>
  <si>
    <t xml:space="preserve">TEMPEST Control Plot - 09/09/22 </t>
  </si>
  <si>
    <t>TEMPEST Seawater Plot - 08/08/22</t>
  </si>
  <si>
    <t>TEMPEST Seawater Plot - 07/18/22</t>
  </si>
  <si>
    <t>TEMPEST Seawater Plot - 07/21/22</t>
  </si>
  <si>
    <t>ran on 27Jul22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</si>
</sst>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mmmm\ d\,\ yyyy;@"/>
    <numFmt numFmtId="165" formatCode="0.0000"/>
    <numFmt numFmtId="166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49" fontId="1" fillId="0" borderId="1" xfId="0" applyNumberFormat="1" applyFont="1" applyBorder="1" applyAlignment="1">
      <alignment horizontal="center" wrapText="1"/>
    </xf>
    <xf numFmtId="2" fontId="1" fillId="0" borderId="1" xfId="0" applyNumberFormat="1" applyFont="1" applyBorder="1" applyAlignment="1">
      <alignment horizontal="center" wrapText="1"/>
    </xf>
    <xf numFmtId="1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64" fontId="1" fillId="0" borderId="1" xfId="0" applyNumberFormat="1" applyFont="1" applyBorder="1" applyAlignment="1">
      <alignment horizontal="center" wrapText="1"/>
    </xf>
    <xf numFmtId="1" fontId="1" fillId="0" borderId="1" xfId="0" applyNumberFormat="1" applyFont="1" applyBorder="1" applyAlignment="1">
      <alignment horizontal="center" wrapText="1"/>
    </xf>
    <xf numFmtId="0" fontId="0" fillId="0" borderId="0" xfId="0" applyAlignment="1">
      <alignment horizontal="center" wrapText="1"/>
    </xf>
    <xf numFmtId="1" fontId="0" fillId="0" borderId="0" xfId="0" applyNumberFormat="1" applyFill="1" applyAlignment="1">
      <alignment horizontal="center"/>
    </xf>
    <xf numFmtId="164" fontId="0" fillId="0" borderId="0" xfId="0" applyNumberFormat="1" applyFill="1" applyAlignment="1">
      <alignment horizontal="center"/>
    </xf>
    <xf numFmtId="0" fontId="3" fillId="0" borderId="0" xfId="0" applyFont="1" applyFill="1" applyAlignment="1">
      <alignment horizontal="center" wrapText="1"/>
    </xf>
    <xf numFmtId="0" fontId="0" fillId="0" borderId="0" xfId="0" applyFill="1" applyAlignment="1">
      <alignment horizontal="center" vertical="center"/>
    </xf>
    <xf numFmtId="49" fontId="0" fillId="0" borderId="0" xfId="0" applyNumberFormat="1" applyFill="1" applyAlignment="1">
      <alignment horizontal="center"/>
    </xf>
    <xf numFmtId="0" fontId="0" fillId="0" borderId="0" xfId="0" applyFill="1" applyAlignment="1">
      <alignment horizontal="center"/>
    </xf>
    <xf numFmtId="166" fontId="0" fillId="0" borderId="0" xfId="0" applyNumberFormat="1" applyFill="1" applyAlignment="1">
      <alignment horizontal="center"/>
    </xf>
    <xf numFmtId="165" fontId="0" fillId="0" borderId="0" xfId="0" applyNumberFormat="1" applyFill="1" applyAlignment="1">
      <alignment horizontal="center"/>
    </xf>
    <xf numFmtId="0" fontId="0" fillId="0" borderId="0" xfId="0" applyFill="1"/>
    <xf numFmtId="164" fontId="4" fillId="0" borderId="0" xfId="0" applyNumberFormat="1" applyFont="1" applyFill="1" applyAlignment="1">
      <alignment horizontal="center"/>
    </xf>
    <xf numFmtId="166" fontId="1" fillId="0" borderId="1" xfId="0" applyNumberFormat="1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wrapText="1"/>
    </xf>
    <xf numFmtId="164" fontId="0" fillId="0" borderId="0" xfId="0" applyNumberFormat="1" applyFill="1" applyAlignment="1">
      <alignment horizontal="center" wrapText="1"/>
    </xf>
    <xf numFmtId="0" fontId="3" fillId="0" borderId="0" xfId="0" applyFont="1" applyAlignment="1">
      <alignment horizontal="center" wrapText="1"/>
    </xf>
    <xf numFmtId="164" fontId="0" fillId="0" borderId="0" xfId="0" applyNumberForma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Roebuck, Alan" id="{44BEC399-2E8C-4D0E-9AE5-F7096AAA7574}" userId="S::alan.roebuck@pnnl.gov::ab61a6f6-bcd7-4cc8-9a4a-50df41abff36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1" dT="2022-06-20T19:15:48.58" personId="{44BEC399-2E8C-4D0E-9AE5-F7096AAA7574}" id="{C481BE6C-13F9-4658-9939-4BAFE83451ED}">
    <text>Don't forget the file extension!!!!</text>
  </threadedComment>
  <threadedComment ref="G1" dT="2022-06-20T19:17:12.76" personId="{44BEC399-2E8C-4D0E-9AE5-F7096AAA7574}" id="{5B6C4BB1-2F9D-4785-A02D-A7CBE1FC7D26}">
    <text>Don't forget the file extension!!!!</text>
  </threadedComment>
  <threadedComment ref="H1" dT="2022-06-20T19:15:53.05" personId="{44BEC399-2E8C-4D0E-9AE5-F7096AAA7574}" id="{85CCF41A-2303-495F-B21F-584431D04D23}">
    <text>Don't forget the file extension!!!!</text>
  </threadedComment>
  <threadedComment ref="L1" dT="2022-06-20T19:22:14.70" personId="{44BEC399-2E8C-4D0E-9AE5-F7096AAA7574}" id="{4CE7CC10-E5AF-4301-A8AA-8A4E8D1645E4}">
    <text>Decimal format. e.g. 1 part water and 1 part sample equal a dilution factor of 0.5
If no dilution occurred, put 1.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6"/>
  <sheetViews>
    <sheetView tabSelected="1" zoomScale="40" zoomScaleNormal="40" workbookViewId="0">
      <selection activeCell="H3" sqref="H3"/>
    </sheetView>
  </sheetViews>
  <sheetFormatPr defaultColWidth="8.6328125" defaultRowHeight="14.5" x14ac:dyDescent="0.35"/>
  <cols>
    <col min="1" max="1" width="6" style="3" bestFit="1" customWidth="1"/>
    <col min="2" max="2" width="19.6328125" style="4" bestFit="1" customWidth="1"/>
    <col min="3" max="3" width="25.1796875" style="29" customWidth="1"/>
    <col min="4" max="4" width="18" style="5" customWidth="1"/>
    <col min="5" max="5" width="9.36328125" style="3" customWidth="1"/>
    <col min="6" max="6" width="49.1796875" style="5" bestFit="1" customWidth="1"/>
    <col min="7" max="7" width="47.36328125" style="5" bestFit="1" customWidth="1"/>
    <col min="8" max="8" width="36.6328125" style="5" customWidth="1"/>
    <col min="9" max="9" width="10.81640625" style="3" bestFit="1" customWidth="1"/>
    <col min="10" max="10" width="9.453125" style="10" customWidth="1"/>
    <col min="11" max="11" width="8.1796875" style="3" customWidth="1"/>
    <col min="12" max="12" width="16.1796875" style="9" customWidth="1"/>
    <col min="13" max="13" width="6.6328125" style="6" customWidth="1"/>
    <col min="14" max="14" width="38.36328125" customWidth="1"/>
  </cols>
  <sheetData>
    <row r="1" spans="1:14" s="26" customFormat="1" ht="43.5" x14ac:dyDescent="0.35">
      <c r="A1" s="12" t="s">
        <v>0</v>
      </c>
      <c r="B1" s="11" t="s">
        <v>1</v>
      </c>
      <c r="C1" s="11" t="s">
        <v>9</v>
      </c>
      <c r="D1" s="1" t="s">
        <v>2</v>
      </c>
      <c r="E1" s="12" t="s">
        <v>6</v>
      </c>
      <c r="F1" s="1" t="s">
        <v>7</v>
      </c>
      <c r="G1" s="1" t="s">
        <v>8</v>
      </c>
      <c r="H1" s="1" t="s">
        <v>4</v>
      </c>
      <c r="I1" s="12" t="s">
        <v>11</v>
      </c>
      <c r="J1" s="24" t="s">
        <v>3</v>
      </c>
      <c r="K1" s="12" t="s">
        <v>10</v>
      </c>
      <c r="L1" s="2" t="s">
        <v>12</v>
      </c>
      <c r="M1" s="25" t="s">
        <v>5</v>
      </c>
      <c r="N1" s="26" t="s">
        <v>74</v>
      </c>
    </row>
    <row r="2" spans="1:14" s="22" customFormat="1" x14ac:dyDescent="0.35">
      <c r="A2" s="14">
        <v>1</v>
      </c>
      <c r="B2" s="23">
        <v>44769</v>
      </c>
      <c r="C2" s="16" t="s">
        <v>69</v>
      </c>
      <c r="D2" s="17" t="str">
        <f>LEFT(F2,FIND("(01)",F2)-1)</f>
        <v xml:space="preserve">preTea27Jul22 </v>
      </c>
      <c r="E2" s="14">
        <v>1</v>
      </c>
      <c r="F2" s="18" t="s">
        <v>34</v>
      </c>
      <c r="G2" s="19" t="s">
        <v>52</v>
      </c>
      <c r="H2" s="19" t="s">
        <v>16</v>
      </c>
      <c r="I2" s="14">
        <v>1</v>
      </c>
      <c r="J2" s="20">
        <v>1</v>
      </c>
      <c r="K2" s="14">
        <v>3103</v>
      </c>
      <c r="L2" s="21">
        <v>1</v>
      </c>
      <c r="M2" s="21" t="s">
        <v>68</v>
      </c>
      <c r="N2" s="22" t="s">
        <v>97</v>
      </c>
    </row>
    <row r="3" spans="1:14" s="22" customFormat="1" x14ac:dyDescent="0.35">
      <c r="A3" s="14">
        <v>2</v>
      </c>
      <c r="B3" s="15">
        <v>44769</v>
      </c>
      <c r="C3" s="16" t="s">
        <v>70</v>
      </c>
      <c r="D3" s="17" t="s">
        <v>73</v>
      </c>
      <c r="E3" s="14">
        <v>1</v>
      </c>
      <c r="F3" s="18" t="s">
        <v>37</v>
      </c>
      <c r="G3" s="19" t="s">
        <v>55</v>
      </c>
      <c r="H3" s="19" t="s">
        <v>19</v>
      </c>
      <c r="I3" s="14">
        <v>1</v>
      </c>
      <c r="J3" s="20">
        <v>1</v>
      </c>
      <c r="K3" s="14">
        <v>3103</v>
      </c>
      <c r="L3" s="21">
        <v>1</v>
      </c>
      <c r="M3" s="21" t="s">
        <v>68</v>
      </c>
      <c r="N3" s="22" t="s">
        <v>97</v>
      </c>
    </row>
    <row r="4" spans="1:14" s="22" customFormat="1" ht="29" x14ac:dyDescent="0.35">
      <c r="A4" s="14">
        <v>3</v>
      </c>
      <c r="B4" s="15">
        <v>44769</v>
      </c>
      <c r="C4" s="16" t="s">
        <v>86</v>
      </c>
      <c r="D4" s="17" t="str">
        <f>LEFT(F4,FIND("2sD",F4)-1)</f>
        <v xml:space="preserve">TMPCJul18 </v>
      </c>
      <c r="E4" s="14">
        <v>1</v>
      </c>
      <c r="F4" s="18" t="s">
        <v>40</v>
      </c>
      <c r="G4" s="19" t="s">
        <v>58</v>
      </c>
      <c r="H4" s="19" t="s">
        <v>22</v>
      </c>
      <c r="I4" s="14">
        <v>1</v>
      </c>
      <c r="J4" s="20">
        <v>2</v>
      </c>
      <c r="K4" s="14">
        <v>3103</v>
      </c>
      <c r="L4" s="21">
        <v>0.5</v>
      </c>
      <c r="M4" s="21" t="s">
        <v>68</v>
      </c>
      <c r="N4" s="22" t="s">
        <v>81</v>
      </c>
    </row>
    <row r="5" spans="1:14" s="22" customFormat="1" ht="29" x14ac:dyDescent="0.35">
      <c r="A5" s="14">
        <v>4</v>
      </c>
      <c r="B5" s="15">
        <v>44769</v>
      </c>
      <c r="C5" s="16" t="s">
        <v>87</v>
      </c>
      <c r="D5" s="17" t="str">
        <f>LEFT(F5,FIND("2sD",F5)-1)</f>
        <v xml:space="preserve">TMPCJul21 </v>
      </c>
      <c r="E5" s="14">
        <v>1</v>
      </c>
      <c r="F5" s="18" t="s">
        <v>41</v>
      </c>
      <c r="G5" s="19" t="s">
        <v>59</v>
      </c>
      <c r="H5" s="19" t="s">
        <v>23</v>
      </c>
      <c r="I5" s="14">
        <v>1</v>
      </c>
      <c r="J5" s="20">
        <v>2</v>
      </c>
      <c r="K5" s="14">
        <v>3103</v>
      </c>
      <c r="L5" s="21">
        <v>0.5</v>
      </c>
      <c r="M5" s="21" t="s">
        <v>68</v>
      </c>
      <c r="N5" s="22" t="s">
        <v>84</v>
      </c>
    </row>
    <row r="6" spans="1:14" s="22" customFormat="1" ht="29" x14ac:dyDescent="0.35">
      <c r="A6" s="14">
        <v>5</v>
      </c>
      <c r="B6" s="15">
        <v>44769</v>
      </c>
      <c r="C6" s="16" t="s">
        <v>89</v>
      </c>
      <c r="D6" s="17" t="str">
        <f>LEFT(F6,FIND("2sD",F6)-1)</f>
        <v xml:space="preserve">TMPFJul21 </v>
      </c>
      <c r="E6" s="14">
        <v>1</v>
      </c>
      <c r="F6" s="18" t="s">
        <v>44</v>
      </c>
      <c r="G6" s="19" t="s">
        <v>62</v>
      </c>
      <c r="H6" s="19" t="s">
        <v>26</v>
      </c>
      <c r="I6" s="14">
        <v>1</v>
      </c>
      <c r="J6" s="20">
        <v>2</v>
      </c>
      <c r="K6" s="14">
        <v>3103</v>
      </c>
      <c r="L6" s="21">
        <v>0.5</v>
      </c>
      <c r="M6" s="21" t="s">
        <v>68</v>
      </c>
      <c r="N6" s="22" t="s">
        <v>84</v>
      </c>
    </row>
    <row r="7" spans="1:14" s="22" customFormat="1" ht="29" x14ac:dyDescent="0.35">
      <c r="A7" s="14">
        <v>6</v>
      </c>
      <c r="B7" s="15">
        <v>44769</v>
      </c>
      <c r="C7" s="16" t="s">
        <v>90</v>
      </c>
      <c r="D7" s="17" t="s">
        <v>75</v>
      </c>
      <c r="E7" s="14">
        <v>1</v>
      </c>
      <c r="F7" s="18" t="s">
        <v>45</v>
      </c>
      <c r="G7" s="19" t="s">
        <v>63</v>
      </c>
      <c r="H7" s="19" t="s">
        <v>27</v>
      </c>
      <c r="I7" s="14">
        <v>1</v>
      </c>
      <c r="J7" s="20">
        <v>2</v>
      </c>
      <c r="K7" s="14">
        <v>3103</v>
      </c>
      <c r="L7" s="21">
        <v>0.5</v>
      </c>
      <c r="M7" s="21" t="s">
        <v>68</v>
      </c>
      <c r="N7" s="22" t="s">
        <v>83</v>
      </c>
    </row>
    <row r="8" spans="1:14" s="22" customFormat="1" ht="29" x14ac:dyDescent="0.35">
      <c r="A8" s="14">
        <v>7</v>
      </c>
      <c r="B8" s="15">
        <v>44769</v>
      </c>
      <c r="C8" s="16" t="s">
        <v>95</v>
      </c>
      <c r="D8" s="17" t="str">
        <f>LEFT(F8,FIND("2sD",F8)-1)</f>
        <v xml:space="preserve">TMPSJul18 </v>
      </c>
      <c r="E8" s="14">
        <v>1</v>
      </c>
      <c r="F8" s="18" t="s">
        <v>48</v>
      </c>
      <c r="G8" s="19" t="s">
        <v>66</v>
      </c>
      <c r="H8" s="19" t="s">
        <v>30</v>
      </c>
      <c r="I8" s="14">
        <v>1</v>
      </c>
      <c r="J8" s="20">
        <v>2</v>
      </c>
      <c r="K8" s="14">
        <v>3103</v>
      </c>
      <c r="L8" s="21">
        <v>0.5</v>
      </c>
      <c r="M8" s="21" t="s">
        <v>68</v>
      </c>
      <c r="N8" s="22" t="s">
        <v>81</v>
      </c>
    </row>
    <row r="9" spans="1:14" s="22" customFormat="1" ht="29" x14ac:dyDescent="0.35">
      <c r="A9" s="14">
        <v>8</v>
      </c>
      <c r="B9" s="15">
        <v>44769</v>
      </c>
      <c r="C9" s="16" t="s">
        <v>96</v>
      </c>
      <c r="D9" s="17" t="str">
        <f>LEFT(F9,FIND("2sD",F9)-1)</f>
        <v xml:space="preserve">TMPSJul21 </v>
      </c>
      <c r="E9" s="14">
        <v>1</v>
      </c>
      <c r="F9" s="18" t="s">
        <v>49</v>
      </c>
      <c r="G9" s="19" t="s">
        <v>67</v>
      </c>
      <c r="H9" s="19" t="s">
        <v>31</v>
      </c>
      <c r="I9" s="14">
        <v>1</v>
      </c>
      <c r="J9" s="20">
        <v>2</v>
      </c>
      <c r="K9" s="14">
        <v>3103</v>
      </c>
      <c r="L9" s="21">
        <v>0.1</v>
      </c>
      <c r="M9" s="21" t="s">
        <v>68</v>
      </c>
      <c r="N9" s="22" t="s">
        <v>82</v>
      </c>
    </row>
    <row r="10" spans="1:14" s="22" customFormat="1" x14ac:dyDescent="0.35">
      <c r="A10" s="14">
        <v>9</v>
      </c>
      <c r="B10" s="15">
        <v>44791</v>
      </c>
      <c r="C10" s="27" t="s">
        <v>70</v>
      </c>
      <c r="D10" s="17" t="s">
        <v>13</v>
      </c>
      <c r="E10" s="14">
        <v>1</v>
      </c>
      <c r="F10" s="18" t="s">
        <v>32</v>
      </c>
      <c r="G10" s="19" t="s">
        <v>50</v>
      </c>
      <c r="H10" s="19" t="s">
        <v>14</v>
      </c>
      <c r="I10" s="14">
        <v>1</v>
      </c>
      <c r="J10" s="20">
        <v>1</v>
      </c>
      <c r="K10" s="14">
        <v>3050</v>
      </c>
      <c r="L10" s="21">
        <v>1</v>
      </c>
      <c r="M10" s="21" t="s">
        <v>68</v>
      </c>
      <c r="N10" s="22" t="s">
        <v>76</v>
      </c>
    </row>
    <row r="11" spans="1:14" s="22" customFormat="1" x14ac:dyDescent="0.35">
      <c r="A11" s="14">
        <v>10</v>
      </c>
      <c r="B11" s="15">
        <v>44791</v>
      </c>
      <c r="C11" s="16" t="s">
        <v>69</v>
      </c>
      <c r="D11" s="17" t="s">
        <v>71</v>
      </c>
      <c r="E11" s="14">
        <v>1</v>
      </c>
      <c r="F11" s="18" t="s">
        <v>33</v>
      </c>
      <c r="G11" s="19" t="s">
        <v>51</v>
      </c>
      <c r="H11" s="19" t="s">
        <v>15</v>
      </c>
      <c r="I11" s="14">
        <v>1</v>
      </c>
      <c r="J11" s="20">
        <v>1</v>
      </c>
      <c r="K11" s="14">
        <v>3050</v>
      </c>
      <c r="L11" s="21">
        <v>1</v>
      </c>
      <c r="M11" s="21" t="s">
        <v>68</v>
      </c>
      <c r="N11" s="22" t="s">
        <v>76</v>
      </c>
    </row>
    <row r="12" spans="1:14" s="22" customFormat="1" ht="29" x14ac:dyDescent="0.35">
      <c r="A12" s="14">
        <v>11</v>
      </c>
      <c r="B12" s="15">
        <v>44791</v>
      </c>
      <c r="C12" s="16" t="s">
        <v>85</v>
      </c>
      <c r="D12" s="17" t="str">
        <f>LEFT(F12,FIND("2sD",F12)-1)</f>
        <v xml:space="preserve">TMPCAug08 </v>
      </c>
      <c r="E12" s="14">
        <v>1</v>
      </c>
      <c r="F12" s="18" t="s">
        <v>39</v>
      </c>
      <c r="G12" s="19" t="s">
        <v>57</v>
      </c>
      <c r="H12" s="19" t="s">
        <v>21</v>
      </c>
      <c r="I12" s="14">
        <v>1</v>
      </c>
      <c r="J12" s="20">
        <v>2</v>
      </c>
      <c r="K12" s="14">
        <v>3050</v>
      </c>
      <c r="L12" s="21">
        <v>0.5</v>
      </c>
      <c r="M12" s="21" t="s">
        <v>68</v>
      </c>
      <c r="N12" s="22" t="s">
        <v>77</v>
      </c>
    </row>
    <row r="13" spans="1:14" s="22" customFormat="1" ht="29" x14ac:dyDescent="0.35">
      <c r="A13" s="14">
        <v>12</v>
      </c>
      <c r="B13" s="15">
        <v>44791</v>
      </c>
      <c r="C13" s="16" t="s">
        <v>88</v>
      </c>
      <c r="D13" s="17" t="str">
        <f>LEFT(F13,FIND("2sD",F13)-1)</f>
        <v xml:space="preserve">TMPFAug08 </v>
      </c>
      <c r="E13" s="14">
        <v>1</v>
      </c>
      <c r="F13" s="18" t="s">
        <v>43</v>
      </c>
      <c r="G13" s="19" t="s">
        <v>61</v>
      </c>
      <c r="H13" s="19" t="s">
        <v>25</v>
      </c>
      <c r="I13" s="14">
        <v>1</v>
      </c>
      <c r="J13" s="20">
        <v>2</v>
      </c>
      <c r="K13" s="14">
        <v>3050</v>
      </c>
      <c r="L13" s="21">
        <v>0.5</v>
      </c>
      <c r="M13" s="21" t="s">
        <v>68</v>
      </c>
      <c r="N13" s="22" t="s">
        <v>77</v>
      </c>
    </row>
    <row r="14" spans="1:14" s="22" customFormat="1" ht="29" x14ac:dyDescent="0.35">
      <c r="A14" s="14">
        <v>13</v>
      </c>
      <c r="B14" s="15">
        <v>44791</v>
      </c>
      <c r="C14" s="16" t="s">
        <v>94</v>
      </c>
      <c r="D14" s="17" t="str">
        <f>LEFT(F14,FIND("2sD",F14)-1)</f>
        <v xml:space="preserve">TMPSAug08 </v>
      </c>
      <c r="E14" s="14">
        <v>1</v>
      </c>
      <c r="F14" s="18" t="s">
        <v>47</v>
      </c>
      <c r="G14" s="19" t="s">
        <v>65</v>
      </c>
      <c r="H14" s="19" t="s">
        <v>29</v>
      </c>
      <c r="I14" s="14">
        <v>1</v>
      </c>
      <c r="J14" s="20">
        <v>2</v>
      </c>
      <c r="K14" s="14">
        <v>3050</v>
      </c>
      <c r="L14" s="21">
        <v>0.1</v>
      </c>
      <c r="M14" s="21" t="s">
        <v>68</v>
      </c>
      <c r="N14" s="22" t="s">
        <v>78</v>
      </c>
    </row>
    <row r="15" spans="1:14" s="22" customFormat="1" x14ac:dyDescent="0.35">
      <c r="A15" s="14">
        <v>14</v>
      </c>
      <c r="B15" s="15">
        <v>44825</v>
      </c>
      <c r="C15" s="16" t="s">
        <v>69</v>
      </c>
      <c r="D15" s="17" t="str">
        <f>LEFT(F15,FIND("(01)",F15)-1)</f>
        <v xml:space="preserve">prT21Sep22 1s </v>
      </c>
      <c r="E15" s="14">
        <v>1</v>
      </c>
      <c r="F15" s="18" t="s">
        <v>35</v>
      </c>
      <c r="G15" s="19" t="s">
        <v>53</v>
      </c>
      <c r="H15" s="19" t="s">
        <v>17</v>
      </c>
      <c r="I15" s="14">
        <v>1</v>
      </c>
      <c r="J15" s="20">
        <v>1</v>
      </c>
      <c r="K15" s="14">
        <v>2949</v>
      </c>
      <c r="L15" s="21">
        <v>1</v>
      </c>
      <c r="M15" s="21" t="s">
        <v>68</v>
      </c>
    </row>
    <row r="16" spans="1:14" s="22" customFormat="1" x14ac:dyDescent="0.35">
      <c r="A16" s="14">
        <v>15</v>
      </c>
      <c r="B16" s="15">
        <v>44825</v>
      </c>
      <c r="C16" s="27" t="s">
        <v>70</v>
      </c>
      <c r="D16" s="17" t="s">
        <v>72</v>
      </c>
      <c r="E16" s="14">
        <v>1</v>
      </c>
      <c r="F16" s="18" t="s">
        <v>36</v>
      </c>
      <c r="G16" s="19" t="s">
        <v>54</v>
      </c>
      <c r="H16" s="19" t="s">
        <v>18</v>
      </c>
      <c r="I16" s="14">
        <v>1</v>
      </c>
      <c r="J16" s="20">
        <v>1</v>
      </c>
      <c r="K16" s="14">
        <v>2949</v>
      </c>
      <c r="L16" s="21">
        <v>1</v>
      </c>
      <c r="M16" s="21" t="s">
        <v>68</v>
      </c>
    </row>
    <row r="17" spans="1:14" s="22" customFormat="1" ht="29" x14ac:dyDescent="0.35">
      <c r="A17" s="14">
        <v>16</v>
      </c>
      <c r="B17" s="15">
        <v>44825</v>
      </c>
      <c r="C17" s="16" t="s">
        <v>93</v>
      </c>
      <c r="D17" s="17" t="str">
        <f>LEFT(F17,FIND("2sD",F17)-1)</f>
        <v xml:space="preserve">TMPC21Sep </v>
      </c>
      <c r="E17" s="14">
        <v>1</v>
      </c>
      <c r="F17" s="18" t="s">
        <v>38</v>
      </c>
      <c r="G17" s="19" t="s">
        <v>56</v>
      </c>
      <c r="H17" s="19" t="s">
        <v>20</v>
      </c>
      <c r="I17" s="14">
        <v>1</v>
      </c>
      <c r="J17" s="20">
        <v>2</v>
      </c>
      <c r="K17" s="14">
        <v>2949</v>
      </c>
      <c r="L17" s="21">
        <v>0.5</v>
      </c>
      <c r="M17" s="21" t="s">
        <v>68</v>
      </c>
      <c r="N17" s="22" t="s">
        <v>79</v>
      </c>
    </row>
    <row r="18" spans="1:14" s="22" customFormat="1" ht="29" x14ac:dyDescent="0.35">
      <c r="A18" s="14">
        <v>17</v>
      </c>
      <c r="B18" s="15">
        <v>44825</v>
      </c>
      <c r="C18" s="16" t="s">
        <v>92</v>
      </c>
      <c r="D18" s="17" t="str">
        <f>LEFT(F18,FIND("2sD",F18)-1)</f>
        <v xml:space="preserve">TMPF21Sep </v>
      </c>
      <c r="E18" s="14">
        <v>1</v>
      </c>
      <c r="F18" s="18" t="s">
        <v>42</v>
      </c>
      <c r="G18" s="19" t="s">
        <v>60</v>
      </c>
      <c r="H18" s="19" t="s">
        <v>24</v>
      </c>
      <c r="I18" s="14">
        <v>1</v>
      </c>
      <c r="J18" s="20">
        <v>2</v>
      </c>
      <c r="K18" s="14">
        <v>2949</v>
      </c>
      <c r="L18" s="21">
        <v>0.5</v>
      </c>
      <c r="M18" s="21" t="s">
        <v>68</v>
      </c>
      <c r="N18" s="22" t="s">
        <v>79</v>
      </c>
    </row>
    <row r="19" spans="1:14" s="22" customFormat="1" ht="29" x14ac:dyDescent="0.35">
      <c r="A19" s="14">
        <v>18</v>
      </c>
      <c r="B19" s="15">
        <v>44825</v>
      </c>
      <c r="C19" s="16" t="s">
        <v>91</v>
      </c>
      <c r="D19" s="17" t="str">
        <f>LEFT(F19,FIND("2sD",F19)-1)</f>
        <v xml:space="preserve">TMPS21Sep </v>
      </c>
      <c r="E19" s="14">
        <v>1</v>
      </c>
      <c r="F19" s="18" t="s">
        <v>46</v>
      </c>
      <c r="G19" s="19" t="s">
        <v>64</v>
      </c>
      <c r="H19" s="19" t="s">
        <v>28</v>
      </c>
      <c r="I19" s="14">
        <v>1</v>
      </c>
      <c r="J19" s="20">
        <v>2</v>
      </c>
      <c r="K19" s="14">
        <v>2949</v>
      </c>
      <c r="L19" s="21">
        <v>0.1</v>
      </c>
      <c r="M19" s="21" t="s">
        <v>68</v>
      </c>
      <c r="N19" s="22" t="s">
        <v>80</v>
      </c>
    </row>
    <row r="20" spans="1:14" x14ac:dyDescent="0.35">
      <c r="C20" s="28"/>
      <c r="D20" s="8"/>
      <c r="F20" s="6"/>
      <c r="G20" s="6"/>
      <c r="H20" s="6"/>
      <c r="L20" s="7"/>
      <c r="M20" s="7"/>
    </row>
    <row r="21" spans="1:14" x14ac:dyDescent="0.35">
      <c r="C21" s="28"/>
      <c r="D21" s="8"/>
      <c r="F21" s="6"/>
      <c r="G21" s="6"/>
      <c r="H21" s="6"/>
      <c r="L21" s="7"/>
      <c r="M21" s="7"/>
    </row>
    <row r="22" spans="1:14" x14ac:dyDescent="0.35">
      <c r="C22" s="28"/>
      <c r="D22" s="8"/>
      <c r="F22" s="6"/>
      <c r="G22" s="6"/>
      <c r="H22" s="6"/>
      <c r="L22" s="7"/>
      <c r="M22" s="7"/>
    </row>
    <row r="23" spans="1:14" x14ac:dyDescent="0.35">
      <c r="C23" s="28"/>
      <c r="D23" s="8"/>
      <c r="F23" s="6"/>
      <c r="G23" s="6"/>
      <c r="H23" s="6"/>
      <c r="L23" s="7"/>
      <c r="M23" s="7"/>
    </row>
    <row r="24" spans="1:14" x14ac:dyDescent="0.35">
      <c r="C24" s="13"/>
      <c r="D24" s="6"/>
      <c r="F24" s="6"/>
      <c r="G24" s="6"/>
      <c r="H24" s="6"/>
      <c r="L24" s="7"/>
    </row>
    <row r="25" spans="1:14" x14ac:dyDescent="0.35">
      <c r="C25" s="13"/>
      <c r="D25" s="6"/>
      <c r="F25" s="6"/>
      <c r="G25" s="6"/>
      <c r="H25" s="6"/>
      <c r="L25" s="7"/>
    </row>
    <row r="26" spans="1:14" x14ac:dyDescent="0.35">
      <c r="C26" s="13"/>
      <c r="D26" s="6"/>
      <c r="F26" s="6"/>
      <c r="G26" s="6"/>
      <c r="H26" s="6"/>
      <c r="L26" s="7"/>
    </row>
    <row r="27" spans="1:14" x14ac:dyDescent="0.35">
      <c r="C27" s="13"/>
      <c r="D27" s="6"/>
      <c r="F27" s="6"/>
      <c r="G27" s="6"/>
      <c r="H27" s="6"/>
      <c r="L27" s="7"/>
    </row>
    <row r="28" spans="1:14" x14ac:dyDescent="0.35">
      <c r="C28" s="13"/>
      <c r="D28" s="6"/>
      <c r="F28" s="6"/>
      <c r="G28" s="6"/>
      <c r="H28" s="6"/>
      <c r="L28" s="7"/>
    </row>
    <row r="29" spans="1:14" x14ac:dyDescent="0.35">
      <c r="D29" s="6"/>
      <c r="L29" s="7"/>
    </row>
    <row r="30" spans="1:14" x14ac:dyDescent="0.35">
      <c r="L30" s="7"/>
    </row>
    <row r="31" spans="1:14" x14ac:dyDescent="0.35">
      <c r="L31" s="7"/>
    </row>
    <row r="32" spans="1:14" x14ac:dyDescent="0.35">
      <c r="L32" s="7"/>
    </row>
    <row r="33" spans="12:12" x14ac:dyDescent="0.35">
      <c r="L33" s="7"/>
    </row>
    <row r="34" spans="12:12" x14ac:dyDescent="0.35">
      <c r="L34" s="7"/>
    </row>
    <row r="35" spans="12:12" x14ac:dyDescent="0.35">
      <c r="L35" s="7"/>
    </row>
    <row r="36" spans="12:12" x14ac:dyDescent="0.35">
      <c r="L36" s="7"/>
    </row>
    <row r="37" spans="12:12" x14ac:dyDescent="0.35">
      <c r="L37" s="7"/>
    </row>
    <row r="39" spans="12:12" x14ac:dyDescent="0.35">
      <c r="L39" s="7"/>
    </row>
    <row r="40" spans="12:12" x14ac:dyDescent="0.35">
      <c r="L40" s="7"/>
    </row>
    <row r="41" spans="12:12" x14ac:dyDescent="0.35">
      <c r="L41" s="7"/>
    </row>
    <row r="42" spans="12:12" x14ac:dyDescent="0.35">
      <c r="L42" s="7"/>
    </row>
    <row r="43" spans="12:12" x14ac:dyDescent="0.35">
      <c r="L43" s="7"/>
    </row>
    <row r="44" spans="12:12" x14ac:dyDescent="0.35">
      <c r="L44" s="7"/>
    </row>
    <row r="45" spans="12:12" x14ac:dyDescent="0.35">
      <c r="L45" s="7"/>
    </row>
    <row r="46" spans="12:12" x14ac:dyDescent="0.35">
      <c r="L46" s="7"/>
    </row>
  </sheetData>
  <sortState xmlns:xlrd2="http://schemas.microsoft.com/office/spreadsheetml/2017/richdata2" ref="A2:N48">
    <sortCondition ref="B1:B48"/>
  </sortState>
  <phoneticPr fontId="2" type="noConversion"/>
  <dataValidations count="2">
    <dataValidation operator="lessThan" allowBlank="1" showInputMessage="1" showErrorMessage="1" sqref="C1" xr:uid="{5FA5E408-7820-4560-9448-59549073E559}"/>
    <dataValidation type="textLength" operator="lessThan" allowBlank="1" showInputMessage="1" showErrorMessage="1" sqref="C3:C5 C7:C1048576" xr:uid="{91B65685-9DD5-4A81-A397-EEC12A8E737E}">
      <formula1>60</formula1>
    </dataValidation>
  </dataValidations>
  <pageMargins left="0.7" right="0.7" top="0.75" bottom="0.75" header="0.3" footer="0.3"/>
  <pageSetup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8.81640625" defaultRowHeight="14.5" x14ac:dyDescent="0.35"/>
  <sheetData/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8.81640625" defaultRowHeight="14.5" x14ac:dyDescent="0.35"/>
  <sheetData/>
  <pageMargins left="0.7" right="0.7" top="0.75" bottom="0.75" header="0.3" footer="0.3"/>
  <pageSetup orientation="portrait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cece13e-3376-4417-9525-be60b11a89a8" xsi:nil="true"/>
    <lcf76f155ced4ddcb4097134ff3c332f xmlns="03570766-e33a-4164-8943-6d32a7ac417a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DC853A563ABF64B8421887057055B0F" ma:contentTypeVersion="10" ma:contentTypeDescription="Create a new document." ma:contentTypeScope="" ma:versionID="7c0891bf7244bb2dff1062b6084d92f5">
  <xsd:schema xmlns:xsd="http://www.w3.org/2001/XMLSchema" xmlns:xs="http://www.w3.org/2001/XMLSchema" xmlns:p="http://schemas.microsoft.com/office/2006/metadata/properties" xmlns:ns2="03570766-e33a-4164-8943-6d32a7ac417a" xmlns:ns3="5cece13e-3376-4417-9525-be60b11a89a8" targetNamespace="http://schemas.microsoft.com/office/2006/metadata/properties" ma:root="true" ma:fieldsID="f69e199257612ef7ab4070b296836862" ns2:_="" ns3:_="">
    <xsd:import namespace="03570766-e33a-4164-8943-6d32a7ac417a"/>
    <xsd:import namespace="5cece13e-3376-4417-9525-be60b11a89a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570766-e33a-4164-8943-6d32a7ac417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260f1aaf-6244-4bb9-9bf9-38bf373853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ece13e-3376-4417-9525-be60b11a89a8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32c29049-4fc3-4a52-bb3d-4f0ab258ea96}" ma:internalName="TaxCatchAll" ma:showField="CatchAllData" ma:web="482683a9-e61d-4853-b10b-3f4a908e17a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9FB7EDA-9EAA-4A5E-8E50-90310A888DC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B3EC132-AE09-49A9-9F73-CA228012CF64}">
  <ds:schemaRefs>
    <ds:schemaRef ds:uri="http://schemas.openxmlformats.org/package/2006/metadata/core-properties"/>
    <ds:schemaRef ds:uri="http://purl.org/dc/elements/1.1/"/>
    <ds:schemaRef ds:uri="http://schemas.microsoft.com/office/infopath/2007/PartnerControls"/>
    <ds:schemaRef ds:uri="http://www.w3.org/XML/1998/namespace"/>
    <ds:schemaRef ds:uri="http://schemas.microsoft.com/office/2006/documentManagement/types"/>
    <ds:schemaRef ds:uri="03570766-e33a-4164-8943-6d32a7ac417a"/>
    <ds:schemaRef ds:uri="http://purl.org/dc/terms/"/>
    <ds:schemaRef ds:uri="5cece13e-3376-4417-9525-be60b11a89a8"/>
    <ds:schemaRef ds:uri="http://schemas.microsoft.com/office/2006/metadata/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D4A8F3EC-2F48-488C-8C6B-4ED12DB99E1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3570766-e33a-4164-8943-6d32a7ac417a"/>
    <ds:schemaRef ds:uri="5cece13e-3376-4417-9525-be60b11a89a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</vt:lpstr>
      <vt:lpstr>Sheet2</vt:lpstr>
      <vt:lpstr>Sheet3</vt:lpstr>
    </vt:vector>
  </TitlesOfParts>
  <Manager/>
  <Company>MUN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Ziegler</dc:creator>
  <cp:keywords/>
  <dc:description/>
  <cp:lastModifiedBy>Roebuck, Alan</cp:lastModifiedBy>
  <cp:revision/>
  <cp:lastPrinted>2022-10-19T00:00:53Z</cp:lastPrinted>
  <dcterms:created xsi:type="dcterms:W3CDTF">2019-11-03T12:45:59Z</dcterms:created>
  <dcterms:modified xsi:type="dcterms:W3CDTF">2022-10-19T17:34:15Z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0x0101006DC853A563ABF64B8421887057055B0F</vt:lpwstr>
  </property>
</Properties>
</file>