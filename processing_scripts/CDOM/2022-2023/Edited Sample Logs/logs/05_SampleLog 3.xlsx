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nnl-my.sharepoint.com/personal/alan_roebuck_pnnl_gov/Documents/Desktop/EEMs/Processed in Matlab/20231114_EEM_TEMPEST/"/>
    </mc:Choice>
  </mc:AlternateContent>
  <xr:revisionPtr revIDLastSave="194" documentId="8_{F9D2C575-2701-6B42-BD1A-C1596E9640BA}" xr6:coauthVersionLast="47" xr6:coauthVersionMax="47" xr10:uidLastSave="{C8F83D3F-A1DC-45AD-87E3-88A71A446693}"/>
  <bookViews>
    <workbookView xWindow="28680" yWindow="-120" windowWidth="29040" windowHeight="15840" xr2:uid="{00000000-000D-0000-FFFF-FFFF00000000}"/>
  </bookViews>
  <sheets>
    <sheet name="log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5" i="1" l="1"/>
  <c r="M44" i="1"/>
  <c r="M43" i="1"/>
  <c r="M42" i="1"/>
  <c r="M40" i="1"/>
  <c r="M41" i="1"/>
  <c r="M39" i="1"/>
  <c r="M36" i="1"/>
  <c r="M35" i="1"/>
  <c r="M34" i="1"/>
  <c r="M33" i="1"/>
  <c r="M32" i="1"/>
  <c r="M31" i="1"/>
  <c r="M30" i="1"/>
  <c r="M29" i="1"/>
  <c r="M28" i="1"/>
  <c r="M25" i="1"/>
  <c r="M24" i="1"/>
  <c r="M15" i="1"/>
  <c r="M17" i="1"/>
  <c r="M23" i="1"/>
  <c r="M22" i="1"/>
  <c r="M21" i="1"/>
  <c r="M18" i="1"/>
  <c r="M16" i="1"/>
  <c r="M14" i="1"/>
  <c r="M11" i="1"/>
  <c r="M10" i="1"/>
  <c r="M9" i="1"/>
  <c r="M8" i="1"/>
  <c r="M7" i="1"/>
  <c r="M6" i="1"/>
  <c r="M5" i="1"/>
  <c r="M4" i="1"/>
  <c r="M3" i="1"/>
  <c r="M2" i="1"/>
  <c r="L48" i="1"/>
  <c r="L52" i="1" l="1"/>
  <c r="L51" i="1"/>
  <c r="L50" i="1"/>
  <c r="L49" i="1"/>
  <c r="L47" i="1"/>
  <c r="L46" i="1"/>
  <c r="L45" i="1"/>
  <c r="L44" i="1"/>
  <c r="L43" i="1"/>
  <c r="L42" i="1"/>
  <c r="L41" i="1"/>
  <c r="L40" i="1"/>
  <c r="L39" i="1"/>
  <c r="L36" i="1"/>
  <c r="L35" i="1"/>
  <c r="L34" i="1"/>
  <c r="L33" i="1"/>
  <c r="L32" i="1"/>
  <c r="L31" i="1"/>
  <c r="L30" i="1"/>
  <c r="L29" i="1"/>
  <c r="L28" i="1"/>
  <c r="L25" i="1"/>
  <c r="L24" i="1"/>
  <c r="L23" i="1"/>
  <c r="L22" i="1"/>
  <c r="L21" i="1"/>
  <c r="L18" i="1"/>
  <c r="L17" i="1"/>
  <c r="L16" i="1"/>
  <c r="L15" i="1"/>
  <c r="L14" i="1"/>
  <c r="L11" i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tc={C481BE6C-13F9-4658-9939-4BAFE83451ED}</author>
    <author>tc={5B6C4BB1-2F9D-4785-A02D-A7CBE1FC7D26}</author>
    <author>tc={85CCF41A-2303-495F-B21F-584431D04D23}</author>
    <author>tc={4CE7CC10-E5AF-4301-A8AA-8A4E8D1645E4}</author>
  </authors>
  <commentList>
    <comment ref="F1" authorId="0" shapeId="0" xr:uid="{C481BE6C-13F9-4658-9939-4BAFE83451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G1" authorId="1" shapeId="0" xr:uid="{5B6C4BB1-2F9D-4785-A02D-A7CBE1FC7D2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H1" authorId="2" shapeId="0" xr:uid="{85CCF41A-2303-495F-B21F-584431D04D2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ref="L1" authorId="3" shapeId="0" xr:uid="{4CE7CC10-E5AF-4301-A8AA-8A4E8D1645E4}">
      <text>
        <t>[Threaded comment]
Your version of Excel allows you to read this threaded comment; however, any edits to it will get removed if the file is opened in a newer version of Excel. Learn more: https://go.microsoft.com/fwlink/?linkid=870924
Comment:
    Decimal format. e.g. 1 part water and 1 part sample equal a dilution factor of 0.5
If no dilution occurred, put 1.</t>
      </text>
    </comment>
  </commentList>
</comments>
</file>

<file path=xl/sharedStrings.xml><?xml version="1.0" encoding="utf-8"?>
<sst xmlns="http://schemas.openxmlformats.org/spreadsheetml/2006/main" count="278" uniqueCount="271">
  <si>
    <t>index</t>
  </si>
  <si>
    <t>Analysis Date</t>
  </si>
  <si>
    <t>Sample ID</t>
  </si>
  <si>
    <t>Integration Time</t>
  </si>
  <si>
    <t>Absorbance File Name</t>
  </si>
  <si>
    <t>DOC (mg/L)</t>
  </si>
  <si>
    <t>Analytical Replicate No</t>
  </si>
  <si>
    <t>EEM file name</t>
  </si>
  <si>
    <t>EEM Blank</t>
  </si>
  <si>
    <t>Sample Description 
(60 Character Max) - Will display on final EEM figure</t>
  </si>
  <si>
    <t>Raman 1s Area</t>
  </si>
  <si>
    <t>Absorbance 
Pathlength</t>
  </si>
  <si>
    <t>Dilution Factor (Decimal Format; e.g. 0.5)</t>
  </si>
  <si>
    <t>TMP_100.POOL.2_EXP</t>
  </si>
  <si>
    <t>POOL100 2 2s</t>
  </si>
  <si>
    <t>TMP_100.POOL.1_EXP</t>
  </si>
  <si>
    <t>POOL100 1 2s</t>
  </si>
  <si>
    <t>TMP_25.POOL.1_EXP</t>
  </si>
  <si>
    <t>POOL25 1 1s</t>
  </si>
  <si>
    <t>TMP_25.POOL.2_EXP</t>
  </si>
  <si>
    <t>POOL25 2 2s</t>
  </si>
  <si>
    <t>TMP_5.POOL.2_EXP</t>
  </si>
  <si>
    <t>POOL5 1 2s</t>
  </si>
  <si>
    <t>TMP_5.POOL.1_EXP</t>
  </si>
  <si>
    <t>POOL5 2 4s</t>
  </si>
  <si>
    <t>TMP_1.POOL.1_EXP</t>
  </si>
  <si>
    <t>POOL1 1 2s</t>
  </si>
  <si>
    <t>TMP_1.POOL.2_EXP</t>
  </si>
  <si>
    <t>POOL1 2 2s</t>
  </si>
  <si>
    <t>TMP_01.POOL.1_EXP</t>
  </si>
  <si>
    <t>TMP_0.POOL.1_EXP</t>
  </si>
  <si>
    <t>POOL0 1 2s</t>
  </si>
  <si>
    <t>TMP_0.POOL.2_EXP</t>
  </si>
  <si>
    <t>POOL0 2 2s</t>
  </si>
  <si>
    <t>TMP_ 01.POOL.2_EXP</t>
  </si>
  <si>
    <t>POOL01 2 2s</t>
  </si>
  <si>
    <t>TMP_0.POOL.3_EXP</t>
  </si>
  <si>
    <t>POOL0 3 4s</t>
  </si>
  <si>
    <t>TMP_01.POOL.3_EXP</t>
  </si>
  <si>
    <t>POOL01 3 4s</t>
  </si>
  <si>
    <t>TMP_1.POOL.3_EXP</t>
  </si>
  <si>
    <t>POOL1 3 4s</t>
  </si>
  <si>
    <t>prT02Oct23 1s</t>
  </si>
  <si>
    <t>poT02Oct23 1s</t>
  </si>
  <si>
    <t>TMP_5.POOL.3_EXP</t>
  </si>
  <si>
    <t>POOL5 3 2s</t>
  </si>
  <si>
    <t>TMP_25.POOL.3_EXP</t>
  </si>
  <si>
    <t>POOL25 3 2s</t>
  </si>
  <si>
    <t>TMP_100.POOL.3_EXP</t>
  </si>
  <si>
    <t>POOL100 3 2s</t>
  </si>
  <si>
    <t>TMP_0.POOL.4_EXP</t>
  </si>
  <si>
    <t>POOL0 4 2s</t>
  </si>
  <si>
    <t>TMP_01.POOL.4_EXP</t>
  </si>
  <si>
    <t>POOL01 4 2s</t>
  </si>
  <si>
    <t>prT03Oct23 1s</t>
  </si>
  <si>
    <t>poT03Oct23 1s</t>
  </si>
  <si>
    <t>TMP_1.POOL.4_EXP</t>
  </si>
  <si>
    <t>POOL1 4 2s</t>
  </si>
  <si>
    <t>TMP_5.POOL.4_EXP</t>
  </si>
  <si>
    <t>POOL5 4 2s</t>
  </si>
  <si>
    <t>TMP_25.POOL.4_EXP</t>
  </si>
  <si>
    <t>POOL25 4 2s</t>
  </si>
  <si>
    <t>TMP_100.POOL.4_EXP</t>
  </si>
  <si>
    <t>POOL100 4 2s</t>
  </si>
  <si>
    <t>TMP_1.POOL.5_EXP</t>
  </si>
  <si>
    <t>TMP_0.POOL.5_EXP</t>
  </si>
  <si>
    <t>POOL0 5 2s</t>
  </si>
  <si>
    <t>TMP_01.POOL.5_EXP</t>
  </si>
  <si>
    <t>POOL01 5 2s</t>
  </si>
  <si>
    <t>TMP_5.POOL.5_EXP</t>
  </si>
  <si>
    <t>POOL5 5 2s</t>
  </si>
  <si>
    <t>TMP_25.POOL.5_EXP</t>
  </si>
  <si>
    <t>POOL25 5 2s</t>
  </si>
  <si>
    <t>prT05Oct23 1s</t>
  </si>
  <si>
    <t>poT05Oct23 1s</t>
  </si>
  <si>
    <t>TMP_100.POOL.5_EXP</t>
  </si>
  <si>
    <t>TMP_25.POOL.6_EXP</t>
  </si>
  <si>
    <t>POOL25 6 2s</t>
  </si>
  <si>
    <t>TMP_100.POOL.6_EXP</t>
  </si>
  <si>
    <t>POOL100 6 2s</t>
  </si>
  <si>
    <t>TMP_1.POOL.6_EXP</t>
  </si>
  <si>
    <t>POOL1 6 2s</t>
  </si>
  <si>
    <t>TMP_0.POOL.6_EXP</t>
  </si>
  <si>
    <t>POOL0 6 2s</t>
  </si>
  <si>
    <t>TMP_01.POOL.6_EXP</t>
  </si>
  <si>
    <t>TMP_5.POOL.6_EXP</t>
  </si>
  <si>
    <t>POOL5 6 2s</t>
  </si>
  <si>
    <t>TMP_SW_D5_20231002</t>
  </si>
  <si>
    <t>TSD51002 2s</t>
  </si>
  <si>
    <t>TMP_SW_F6_20231002</t>
  </si>
  <si>
    <t>TSF61002 1s</t>
  </si>
  <si>
    <t>TMP_SW_C3_20231002</t>
  </si>
  <si>
    <t>TSC31002 2s</t>
  </si>
  <si>
    <t>TMP_SW_H3_20231002</t>
  </si>
  <si>
    <t>TSH31002 2s</t>
  </si>
  <si>
    <t>TMP_FW_H3_20231002</t>
  </si>
  <si>
    <t>TFH31002 2s</t>
  </si>
  <si>
    <t>TMP_FW_I5_20231005</t>
  </si>
  <si>
    <t>TFI51005 1s</t>
  </si>
  <si>
    <t>TMP_C_I5_20231002</t>
  </si>
  <si>
    <t>TCI51002 2s</t>
  </si>
  <si>
    <t>POOL100 2 2s (01) - Abs Spectra Graphs.dat</t>
  </si>
  <si>
    <t>POOL100 1 2s (01) - Abs Spectra Graphs.dat</t>
  </si>
  <si>
    <t>POOL25 1 1s (01) - Abs Spectra Graphs.dat</t>
  </si>
  <si>
    <t>POOL25 2 2s (01) - Abs Spectra Graphs.dat</t>
  </si>
  <si>
    <t>POOL5 1 2s (01) - Abs Spectra Graphs.dat</t>
  </si>
  <si>
    <t>POOL5 2 4s (01) - Abs Spectra Graphs.dat</t>
  </si>
  <si>
    <t>POOL1 1 2s (01) - Abs Spectra Graphs.dat</t>
  </si>
  <si>
    <t>POOL01 1 2s (01) - Abs Spectra Graphs.dat</t>
  </si>
  <si>
    <t>POOL0 1 2s (01) - Abs Spectra Graphs.dat</t>
  </si>
  <si>
    <t>POOL0 2 2s (01) - Abs Spectra Graphs.dat</t>
  </si>
  <si>
    <t>POOL01 2 2s (01) - Abs Spectra Graphs.dat</t>
  </si>
  <si>
    <t>POOL0 3 4s (01) - Abs Spectra Graphs.dat</t>
  </si>
  <si>
    <t>POOL01 3 4s (01) - Abs Spectra Graphs.dat</t>
  </si>
  <si>
    <t>POOL1 3 4s (01) - Abs Spectra Graphs.dat</t>
  </si>
  <si>
    <t>poT03Oct23 (01) - Abs Spectra Graphs.dat</t>
  </si>
  <si>
    <t>POOL1 4 2s (01) - Abs Spectra Graphs.dat</t>
  </si>
  <si>
    <t>POOL5 4 2s (01) - Abs Spectra Graphs.dat</t>
  </si>
  <si>
    <t>POOL25 4 2s (01) - Abs Spectra Graphs.dat</t>
  </si>
  <si>
    <t>POOL100 4 2s (01) - Abs Spectra Graphs.dat</t>
  </si>
  <si>
    <t>POOL1 5 2sA (01) - Abs Spectra Graphs.dat</t>
  </si>
  <si>
    <t>POOL0 5 2s (01) - Abs Spectra Graphs.dat</t>
  </si>
  <si>
    <t>POOL01 5 2s (01) - Abs Spectra Graphs.dat</t>
  </si>
  <si>
    <t>POOL5 5 2s (01) - Abs Spectra Graphs.dat</t>
  </si>
  <si>
    <t>POOL25 5 2s (01) - Abs Spectra Graphs.dat</t>
  </si>
  <si>
    <t>prT05Oct23 1s (01) - Abs Spectra Graphs.dat</t>
  </si>
  <si>
    <t>poT05Oct23 1s (01) - Abs Spectra Graphs.dat</t>
  </si>
  <si>
    <t>POOL100 5 2s (01) - Abs Spectra Graphs.dat</t>
  </si>
  <si>
    <t>POOL25 6 2s (01) - Abs Spectra Graphs.dat</t>
  </si>
  <si>
    <t>POOL100 6 2s (01) - Abs Spectra Graphs.dat</t>
  </si>
  <si>
    <t>POOL1 6 2s (01) - Abs Spectra Graphs.dat</t>
  </si>
  <si>
    <t>POOL0 6 2s (01) - Abs Spectra Graphs.dat</t>
  </si>
  <si>
    <t>POOL5 6 2s (01) - Abs Spectra Graphs.dat</t>
  </si>
  <si>
    <t>POOL100 2 2s (01) - Waterfall Plot Blank.dat</t>
  </si>
  <si>
    <t>POOL100 1 2s (01) - Waterfall Plot Blank.dat</t>
  </si>
  <si>
    <t>POOL25 1 1s (01) - Waterfall Plot Blank.dat</t>
  </si>
  <si>
    <t>POOL25 2 2s (01) - Waterfall Plot Blank.dat</t>
  </si>
  <si>
    <t>POOL5 1 2s (01) - Waterfall Plot Blank.dat</t>
  </si>
  <si>
    <t>POOL5 2 4s (01) - Waterfall Plot Blank.dat</t>
  </si>
  <si>
    <t>POOL1 1 2s (01) - Waterfall Plot Blank.dat</t>
  </si>
  <si>
    <t>POOL01 1 2s (01) - Waterfall Plot Blank.dat</t>
  </si>
  <si>
    <t>POOL0 1 2s (01) - Waterfall Plot Blank.dat</t>
  </si>
  <si>
    <t>POOL0 2 2s (01) - Waterfall Plot Blank.dat</t>
  </si>
  <si>
    <t>POOL01 2 2s (01) - Waterfall Plot Blank.dat</t>
  </si>
  <si>
    <t>POOL0 3 4s (01) - Waterfall Plot Blank.dat</t>
  </si>
  <si>
    <t>POOL01 3 4s (01) - Waterfall Plot Blank.dat</t>
  </si>
  <si>
    <t>POOL1 3 4s (01) - Waterfall Plot Blank.dat</t>
  </si>
  <si>
    <t>prT02Oct23 1s (01) - Waterfall Plot Blank.dat</t>
  </si>
  <si>
    <t>poT02Oct23 (01) - Waterfall Plot Blank.dat</t>
  </si>
  <si>
    <t>POOL5 3 2s (01) - Waterfall Plot Blank.dat</t>
  </si>
  <si>
    <t>POOL25 3 2s (01) - Waterfall Plot Blank.dat</t>
  </si>
  <si>
    <t>POOL100 3 2s (01) - Waterfall Plot Blank.dat</t>
  </si>
  <si>
    <t>POOL0 4 2s (01) - Waterfall Plot Blank.dat</t>
  </si>
  <si>
    <t>POOL01 4 2s (01) - Waterfall Plot Blank.dat</t>
  </si>
  <si>
    <t>prT03Oct23 (01) - Waterfall Plot Blank.dat</t>
  </si>
  <si>
    <t>poT03Oct23 (01) - Waterfall Plot Blank.dat</t>
  </si>
  <si>
    <t>POOL1 4 2s (01) - Waterfall Plot Blank.dat</t>
  </si>
  <si>
    <t>POOL5 4 2s (01) - Waterfall Plot Blank.dat</t>
  </si>
  <si>
    <t>POOL25 4 2s (01) - Waterfall Plot Blank.dat</t>
  </si>
  <si>
    <t>POOL100 4 2s (01) - Waterfall Plot Blank.dat</t>
  </si>
  <si>
    <t>POOL1 5 2sA (01) - Waterfall Plot Blank.dat</t>
  </si>
  <si>
    <t>POOL0 5 2s (01) - Waterfall Plot Blank.dat</t>
  </si>
  <si>
    <t>POOL01 5 2s (01) - Waterfall Plot Blank.dat</t>
  </si>
  <si>
    <t>POOL5 5 2s (01) - Waterfall Plot Blank.dat</t>
  </si>
  <si>
    <t>POOL25 5 2s (01) - Waterfall Plot Blank.dat</t>
  </si>
  <si>
    <t>prT05Oct23 1s (01) - Waterfall Plot Blank.dat</t>
  </si>
  <si>
    <t>poT05Oct23 1s (01) - Waterfall Plot Blank.dat</t>
  </si>
  <si>
    <t>POOL100 5 2s (01) - Waterfall Plot Blank.dat</t>
  </si>
  <si>
    <t>POOL25 6 2s (01) - Waterfall Plot Blank.dat</t>
  </si>
  <si>
    <t>POOL100 6 2s (01) - Waterfall Plot Blank.dat</t>
  </si>
  <si>
    <t>POOL1 6 2s (01) - Waterfall Plot Blank.dat</t>
  </si>
  <si>
    <t>POOL0 6 2s (01) - Waterfall Plot Blank.dat</t>
  </si>
  <si>
    <t>POOL01 6 2s (01) - Waterfall Plot Blank.dat</t>
  </si>
  <si>
    <t>POOL5 6 2s (01) - Waterfall Plot Blank.dat</t>
  </si>
  <si>
    <t>POOL5 6 2s (01) - Waterfall Plot Sample.dat</t>
  </si>
  <si>
    <t>POOL0 6 2s (01) - Waterfall Plot Sample.dat</t>
  </si>
  <si>
    <t>POOL1 6 2s (01) - Waterfall Plot Sample.dat</t>
  </si>
  <si>
    <t>POOL100 6 2s (01) - Waterfall Plot Sample.dat</t>
  </si>
  <si>
    <t>POOL25 6 2s (01) - Waterfall Plot Sample.dat</t>
  </si>
  <si>
    <t>POOL100 5 2s (01) - Waterfall Plot Sample.dat</t>
  </si>
  <si>
    <t>poT05Oct23 1s (01) - Waterfall Plot Sample.dat</t>
  </si>
  <si>
    <t>prT05Oct23 1s (01) - Waterfall Plot Sample.dat</t>
  </si>
  <si>
    <t>POOL25 5 2s (01) - Waterfall Plot Sample.dat</t>
  </si>
  <si>
    <t>POOL5 5 2s (01) - Waterfall Plot Sample.dat</t>
  </si>
  <si>
    <t>POOL01 5 2s (01) - Waterfall Plot Sample.dat</t>
  </si>
  <si>
    <t>POOL0 5 2s (01) - Waterfall Plot Sample.dat</t>
  </si>
  <si>
    <t>POOL1 5 2sA (01) - Waterfall Plot Sample.dat</t>
  </si>
  <si>
    <t>POOL100 4 2s (01) - Waterfall Plot Sample.dat</t>
  </si>
  <si>
    <t>POOL25 4 2s (01) - Waterfall Plot Sample.dat</t>
  </si>
  <si>
    <t>POOL5 4 2s (01) - Waterfall Plot Sample.dat</t>
  </si>
  <si>
    <t>POOL1 4 2s (01) - Waterfall Plot Sample.dat</t>
  </si>
  <si>
    <t>poT03Oct23 (01) - Waterfall Plot Sample.dat</t>
  </si>
  <si>
    <t>POOL01 4 2s (01) - Waterfall Plot Sample.dat</t>
  </si>
  <si>
    <t>POOL0 4 2s (01) - Waterfall Plot Sample.dat</t>
  </si>
  <si>
    <t>POOL100 3 2s (01) - Waterfall Plot Sample.dat</t>
  </si>
  <si>
    <t>POOL25 3 2s (01) - Waterfall Plot Sample.dat</t>
  </si>
  <si>
    <t>POOL5 3 2s (01) - Waterfall Plot Sample.dat</t>
  </si>
  <si>
    <t>poT02Oct23 (01) - Waterfall Plot Sample.dat</t>
  </si>
  <si>
    <t>prT02Oct23 1s (01) - Waterfall Plot Sample.dat</t>
  </si>
  <si>
    <t>POOL1 3 4s (01) - Waterfall Plot Sample.dat</t>
  </si>
  <si>
    <t>POOL01 3 4s (01) - Waterfall Plot Sample.dat</t>
  </si>
  <si>
    <t>POOL0 3 4s (01) - Waterfall Plot Sample.dat</t>
  </si>
  <si>
    <t>POOL01 2 2s (01) - Waterfall Plot Sample.dat</t>
  </si>
  <si>
    <t>POOL0 2 2s (01) - Waterfall Plot Sample.dat</t>
  </si>
  <si>
    <t>POOL0 1 2s (01) - Waterfall Plot Sample.dat</t>
  </si>
  <si>
    <t>POOL01 1 2s (01) - Waterfall Plot Sample.dat</t>
  </si>
  <si>
    <t>POOL1 1 2s (01) - Waterfall Plot Sample.dat</t>
  </si>
  <si>
    <t>POOL5 2 4s (01) - Waterfall Plot Sample.dat</t>
  </si>
  <si>
    <t>POOL5 1 2s (01) - Waterfall Plot Sample.dat</t>
  </si>
  <si>
    <t>POOL25 2 2s (01) - Waterfall Plot Sample.dat</t>
  </si>
  <si>
    <t>POOL25 1 1s (01) - Waterfall Plot Sample.dat</t>
  </si>
  <si>
    <t>POOL100 1 2s (01) - Waterfall Plot Sample.dat</t>
  </si>
  <si>
    <t>POOL100 2 2s (01) - Waterfall Plot Sample.dat</t>
  </si>
  <si>
    <t>POOL1 2 2s (01) - Waterfall Plot Blank.dat</t>
  </si>
  <si>
    <t>prT28Sep23</t>
  </si>
  <si>
    <t>poT28Sep23</t>
  </si>
  <si>
    <t>prT28Sep23 (01) - Abs Spectra Graphs.dat</t>
  </si>
  <si>
    <t>prT28Sep23 (01) - Waterfall Plot Blank.dat</t>
  </si>
  <si>
    <t>prT28Sep23 (01) - Waterfall Plot Sample.dat</t>
  </si>
  <si>
    <t>poT28Sep23 (01) - Abs Spectra Graphs.dat</t>
  </si>
  <si>
    <t>poT28Sep23 (01) - Waterfall Plot Sample.dat</t>
  </si>
  <si>
    <t>prT03Oct23 (01) - Abs Spectra Graphs.dat</t>
  </si>
  <si>
    <t>prT03Oct23 (01) - Waterfall Plot Sample.dat</t>
  </si>
  <si>
    <t>POOL01 6 2s</t>
  </si>
  <si>
    <t>POOL01 6 2s (01) - Abs Spectra Graphs.dat</t>
  </si>
  <si>
    <t>POOL01 6 2s (01) - Waterfall Plot Sample.dat</t>
  </si>
  <si>
    <t>TSD51002 2s (01) - Abs Spectra Graphs.dat</t>
  </si>
  <si>
    <t>TSD51002 2s (01) - Waterfall Plot Blank.dat</t>
  </si>
  <si>
    <t>TSD51002 2s (01) - Waterfall Plot Sample.dat</t>
  </si>
  <si>
    <t>TSF61002 1s (01) - Abs Spectra Graphs.dat</t>
  </si>
  <si>
    <t>TSF61002 1s (01) - Waterfall Plot Blank.dat</t>
  </si>
  <si>
    <t>TSF61002 1s (01) - Waterfall Plot Sample.dat</t>
  </si>
  <si>
    <t>TSH31002 2s (01) - Abs Spectra Graphs.dat</t>
  </si>
  <si>
    <t>TSH31002 2s (01) - Waterfall Plot Blank.dat</t>
  </si>
  <si>
    <t>TSH31002 2s (01) - Waterfall Plot Sample.dat</t>
  </si>
  <si>
    <t>TSC31002 2s (01) - Abs Spectra Graphs.dat</t>
  </si>
  <si>
    <t>TSC31002 2s (01) - Waterfall Plot Blank.dat</t>
  </si>
  <si>
    <t>TSC31002 2s (01) - Waterfall Plot Sample.dat</t>
  </si>
  <si>
    <t>TFH31002 2s (01) - Abs Spectra Graphs.dat</t>
  </si>
  <si>
    <t>TFH31002 2s (01) - Waterfall Plot Blank.dat</t>
  </si>
  <si>
    <t>TFH31002 2s (01) - Waterfall Plot Sample.dat</t>
  </si>
  <si>
    <t>TFI51005 1s (01) - Abs Spectra Graphs.dat</t>
  </si>
  <si>
    <t>TFI51005 1s (01) - Waterfall Plot Blank.dat</t>
  </si>
  <si>
    <t>TFI51005 1s (01) - Waterfall Plot Sample.dat</t>
  </si>
  <si>
    <t>TCI51002 2s (01) - Abs Spectra Graphs.dat</t>
  </si>
  <si>
    <t>TCI51002 2s (01) - Waterfall Plot Blank.dat</t>
  </si>
  <si>
    <t>TCI51002 2s (01) - Waterfall Plot Sample.dat</t>
  </si>
  <si>
    <t>prT12Oct23</t>
  </si>
  <si>
    <t>prT12Oct23 (01) - Abs Spectra Graphs.dat</t>
  </si>
  <si>
    <t>prT12Oct23 (01) - Waterfall Plot Blank.dat</t>
  </si>
  <si>
    <t>prT12Oct23 (01) - Waterfall Plot Sample.dat</t>
  </si>
  <si>
    <t>poT12Oct23</t>
  </si>
  <si>
    <t>poT12Oct23 (01) - Abs Spectra Graphs.dat</t>
  </si>
  <si>
    <t>poT12Oct23 (01) - Waterfall Plot Blank.dat</t>
  </si>
  <si>
    <t>poT12Oct23 (01) - Waterfall Plot Sample.dat</t>
  </si>
  <si>
    <t>POOL1 2 2s (01) - Waterfall Plot Sample.dat</t>
  </si>
  <si>
    <t>POOL1 2 2s (01) - Abs Spectra Graphs.dat</t>
  </si>
  <si>
    <t>POOL01 1 2s</t>
  </si>
  <si>
    <t>POOL1 5 2sA</t>
  </si>
  <si>
    <t>POOL100 5 2s</t>
  </si>
  <si>
    <t>poT28Sep23 (01) - Waterfall Plot Blank.dat</t>
  </si>
  <si>
    <t>PreTea_28Sep23</t>
  </si>
  <si>
    <t>PostTea_28Sep23</t>
  </si>
  <si>
    <t>PreTea02Oct23</t>
  </si>
  <si>
    <t>PostTea_02Oct23</t>
  </si>
  <si>
    <t>PreTea_03Oct23</t>
  </si>
  <si>
    <t>PostTea_03Oct23</t>
  </si>
  <si>
    <t>PreTea_05Oct23</t>
  </si>
  <si>
    <t>PostTea_05Oct23</t>
  </si>
  <si>
    <t>PreTea_12Oct23</t>
  </si>
  <si>
    <t>PostTea_12Oct23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</si>
</sst>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 d\,\ yyyy;@"/>
    <numFmt numFmtId="165" formatCode="0.0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1" fillId="0" borderId="1" xfId="0" applyFont="1" applyBorder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wrapText="1"/>
    </xf>
    <xf numFmtId="1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ebuck, Alan" id="{44BEC399-2E8C-4D0E-9AE5-F7096AAA7574}" userId="S::alan.roebuck@pnnl.gov::ab61a6f6-bcd7-4cc8-9a4a-50df41abff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2-06-20T19:15:48.58" personId="{44BEC399-2E8C-4D0E-9AE5-F7096AAA7574}" id="{C481BE6C-13F9-4658-9939-4BAFE83451ED}">
    <text>Don't forget the file extension!!!!</text>
  </threadedComment>
  <threadedComment ref="G1" dT="2022-06-20T19:17:12.76" personId="{44BEC399-2E8C-4D0E-9AE5-F7096AAA7574}" id="{5B6C4BB1-2F9D-4785-A02D-A7CBE1FC7D26}">
    <text>Don't forget the file extension!!!!</text>
  </threadedComment>
  <threadedComment ref="H1" dT="2022-06-20T19:15:53.05" personId="{44BEC399-2E8C-4D0E-9AE5-F7096AAA7574}" id="{85CCF41A-2303-495F-B21F-584431D04D23}">
    <text>Don't forget the file extension!!!!</text>
  </threadedComment>
  <threadedComment ref="L1" dT="2022-06-20T19:22:14.70" personId="{44BEC399-2E8C-4D0E-9AE5-F7096AAA7574}" id="{4CE7CC10-E5AF-4301-A8AA-8A4E8D1645E4}">
    <text>Decimal format. e.g. 1 part water and 1 part sample equal a dilution factor of 0.5
If no dilution occurred, put 1.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zoomScale="54" zoomScaleNormal="55" workbookViewId="0">
      <selection activeCell="C55" sqref="C55"/>
    </sheetView>
  </sheetViews>
  <sheetFormatPr defaultColWidth="8.6328125" defaultRowHeight="14.5" x14ac:dyDescent="0.35"/>
  <cols>
    <col min="1" max="1" width="6" style="7" bestFit="1" customWidth="1"/>
    <col min="2" max="2" width="18.453125" style="8" bestFit="1" customWidth="1"/>
    <col min="3" max="3" width="25.36328125" style="8" customWidth="1"/>
    <col min="4" max="4" width="18.1796875" style="9" bestFit="1" customWidth="1"/>
    <col min="5" max="5" width="21" style="7" bestFit="1" customWidth="1"/>
    <col min="6" max="6" width="46.81640625" style="9" customWidth="1"/>
    <col min="7" max="7" width="42.36328125" style="9" customWidth="1"/>
    <col min="8" max="8" width="38" style="9" customWidth="1"/>
    <col min="9" max="9" width="10.81640625" style="7" bestFit="1" customWidth="1"/>
    <col min="10" max="10" width="14.81640625" style="14" bestFit="1" customWidth="1"/>
    <col min="11" max="11" width="14.81640625" style="7" customWidth="1"/>
    <col min="12" max="12" width="30" style="12" customWidth="1"/>
    <col min="13" max="13" width="11.1796875" style="10" bestFit="1" customWidth="1"/>
  </cols>
  <sheetData>
    <row r="1" spans="1:13" s="6" customFormat="1" ht="43.5" x14ac:dyDescent="0.35">
      <c r="A1" s="1" t="s">
        <v>0</v>
      </c>
      <c r="B1" s="2" t="s">
        <v>1</v>
      </c>
      <c r="C1" s="15" t="s">
        <v>9</v>
      </c>
      <c r="D1" s="3" t="s">
        <v>2</v>
      </c>
      <c r="E1" s="1" t="s">
        <v>6</v>
      </c>
      <c r="F1" s="4" t="s">
        <v>7</v>
      </c>
      <c r="G1" s="4" t="s">
        <v>8</v>
      </c>
      <c r="H1" s="3" t="s">
        <v>4</v>
      </c>
      <c r="I1" s="16" t="s">
        <v>11</v>
      </c>
      <c r="J1" s="13" t="s">
        <v>3</v>
      </c>
      <c r="K1" s="1" t="s">
        <v>10</v>
      </c>
      <c r="L1" s="5" t="s">
        <v>12</v>
      </c>
      <c r="M1" s="11" t="s">
        <v>5</v>
      </c>
    </row>
    <row r="2" spans="1:13" s="24" customFormat="1" x14ac:dyDescent="0.35">
      <c r="A2" s="17">
        <v>1</v>
      </c>
      <c r="B2" s="18">
        <v>45197</v>
      </c>
      <c r="C2" s="19" t="s">
        <v>13</v>
      </c>
      <c r="D2" s="20" t="s">
        <v>14</v>
      </c>
      <c r="E2" s="17">
        <v>1</v>
      </c>
      <c r="F2" s="21" t="s">
        <v>212</v>
      </c>
      <c r="G2" s="21" t="s">
        <v>133</v>
      </c>
      <c r="H2" s="21" t="s">
        <v>101</v>
      </c>
      <c r="I2" s="17">
        <v>1</v>
      </c>
      <c r="J2" s="22">
        <v>2</v>
      </c>
      <c r="K2" s="17">
        <v>3249</v>
      </c>
      <c r="L2" s="23">
        <v>1</v>
      </c>
      <c r="M2" s="23">
        <f>(3.501+3.786+3.996)/3</f>
        <v>3.7609999999999997</v>
      </c>
    </row>
    <row r="3" spans="1:13" s="24" customFormat="1" x14ac:dyDescent="0.35">
      <c r="A3" s="17">
        <v>2</v>
      </c>
      <c r="B3" s="18">
        <v>45197</v>
      </c>
      <c r="C3" s="19" t="s">
        <v>15</v>
      </c>
      <c r="D3" s="20" t="s">
        <v>16</v>
      </c>
      <c r="E3" s="17">
        <v>1</v>
      </c>
      <c r="F3" s="21" t="s">
        <v>211</v>
      </c>
      <c r="G3" s="21" t="s">
        <v>134</v>
      </c>
      <c r="H3" s="21" t="s">
        <v>102</v>
      </c>
      <c r="I3" s="17">
        <v>1</v>
      </c>
      <c r="J3" s="22">
        <v>2</v>
      </c>
      <c r="K3" s="17">
        <v>3249</v>
      </c>
      <c r="L3" s="23">
        <v>1</v>
      </c>
      <c r="M3" s="23">
        <f>(8.141+8.606+8.131)/3</f>
        <v>8.2926666666666673</v>
      </c>
    </row>
    <row r="4" spans="1:13" s="24" customFormat="1" x14ac:dyDescent="0.35">
      <c r="A4" s="17">
        <v>3</v>
      </c>
      <c r="B4" s="18">
        <v>45197</v>
      </c>
      <c r="C4" s="19" t="s">
        <v>17</v>
      </c>
      <c r="D4" s="20" t="s">
        <v>18</v>
      </c>
      <c r="E4" s="17">
        <v>1</v>
      </c>
      <c r="F4" s="21" t="s">
        <v>210</v>
      </c>
      <c r="G4" s="21" t="s">
        <v>135</v>
      </c>
      <c r="H4" s="21" t="s">
        <v>103</v>
      </c>
      <c r="I4" s="17">
        <v>1</v>
      </c>
      <c r="J4" s="22">
        <v>1</v>
      </c>
      <c r="K4" s="17">
        <v>3249</v>
      </c>
      <c r="L4" s="23">
        <v>1</v>
      </c>
      <c r="M4" s="23">
        <f>(7.645+6.962+6.757)/3</f>
        <v>7.1213333333333324</v>
      </c>
    </row>
    <row r="5" spans="1:13" s="24" customFormat="1" x14ac:dyDescent="0.35">
      <c r="A5" s="17">
        <v>4</v>
      </c>
      <c r="B5" s="18">
        <v>45197</v>
      </c>
      <c r="C5" s="19" t="s">
        <v>19</v>
      </c>
      <c r="D5" s="20" t="s">
        <v>20</v>
      </c>
      <c r="E5" s="17">
        <v>1</v>
      </c>
      <c r="F5" s="21" t="s">
        <v>209</v>
      </c>
      <c r="G5" s="21" t="s">
        <v>136</v>
      </c>
      <c r="H5" s="21" t="s">
        <v>104</v>
      </c>
      <c r="I5" s="17">
        <v>1</v>
      </c>
      <c r="J5" s="22">
        <v>2</v>
      </c>
      <c r="K5" s="17">
        <v>3249</v>
      </c>
      <c r="L5" s="23">
        <v>1</v>
      </c>
      <c r="M5" s="23">
        <f>(4.026+3.751+4.091)/3</f>
        <v>3.9559999999999995</v>
      </c>
    </row>
    <row r="6" spans="1:13" s="24" customFormat="1" ht="18" customHeight="1" x14ac:dyDescent="0.35">
      <c r="A6" s="17">
        <v>5</v>
      </c>
      <c r="B6" s="18">
        <v>45197</v>
      </c>
      <c r="C6" s="19" t="s">
        <v>23</v>
      </c>
      <c r="D6" s="20" t="s">
        <v>22</v>
      </c>
      <c r="E6" s="17">
        <v>1</v>
      </c>
      <c r="F6" s="21" t="s">
        <v>208</v>
      </c>
      <c r="G6" s="21" t="s">
        <v>137</v>
      </c>
      <c r="H6" s="21" t="s">
        <v>105</v>
      </c>
      <c r="I6" s="17">
        <v>1</v>
      </c>
      <c r="J6" s="22">
        <v>2</v>
      </c>
      <c r="K6" s="17">
        <v>3249</v>
      </c>
      <c r="L6" s="23">
        <v>1</v>
      </c>
      <c r="M6" s="23">
        <f>(5.171+6.608+5.01)/3</f>
        <v>5.5963333333333338</v>
      </c>
    </row>
    <row r="7" spans="1:13" s="24" customFormat="1" x14ac:dyDescent="0.35">
      <c r="A7" s="17">
        <v>6</v>
      </c>
      <c r="B7" s="18">
        <v>45197</v>
      </c>
      <c r="C7" s="19" t="s">
        <v>21</v>
      </c>
      <c r="D7" s="20" t="s">
        <v>24</v>
      </c>
      <c r="E7" s="17">
        <v>1</v>
      </c>
      <c r="F7" s="21" t="s">
        <v>207</v>
      </c>
      <c r="G7" s="21" t="s">
        <v>138</v>
      </c>
      <c r="H7" s="21" t="s">
        <v>106</v>
      </c>
      <c r="I7" s="17">
        <v>1</v>
      </c>
      <c r="J7" s="22">
        <v>4</v>
      </c>
      <c r="K7" s="17">
        <v>3249</v>
      </c>
      <c r="L7" s="23">
        <v>0.17499999999999999</v>
      </c>
      <c r="M7" s="23">
        <f>(12.87+13.65+13.78)/3</f>
        <v>13.433333333333332</v>
      </c>
    </row>
    <row r="8" spans="1:13" s="24" customFormat="1" x14ac:dyDescent="0.35">
      <c r="A8" s="17">
        <v>7</v>
      </c>
      <c r="B8" s="18">
        <v>45197</v>
      </c>
      <c r="C8" s="19" t="s">
        <v>25</v>
      </c>
      <c r="D8" s="20" t="s">
        <v>26</v>
      </c>
      <c r="E8" s="17">
        <v>1</v>
      </c>
      <c r="F8" s="21" t="s">
        <v>206</v>
      </c>
      <c r="G8" s="21" t="s">
        <v>139</v>
      </c>
      <c r="H8" s="21" t="s">
        <v>107</v>
      </c>
      <c r="I8" s="17">
        <v>1</v>
      </c>
      <c r="J8" s="22">
        <v>2</v>
      </c>
      <c r="K8" s="17">
        <v>3249</v>
      </c>
      <c r="L8" s="23">
        <v>1</v>
      </c>
      <c r="M8" s="23">
        <f>(6.101+5.331+6.186)/3</f>
        <v>5.8726666666666674</v>
      </c>
    </row>
    <row r="9" spans="1:13" s="24" customFormat="1" x14ac:dyDescent="0.35">
      <c r="A9" s="17">
        <v>8</v>
      </c>
      <c r="B9" s="18">
        <v>45197</v>
      </c>
      <c r="C9" s="19" t="s">
        <v>27</v>
      </c>
      <c r="D9" s="20" t="s">
        <v>28</v>
      </c>
      <c r="E9" s="17">
        <v>1</v>
      </c>
      <c r="F9" s="21" t="s">
        <v>255</v>
      </c>
      <c r="G9" s="21" t="s">
        <v>213</v>
      </c>
      <c r="H9" s="21" t="s">
        <v>256</v>
      </c>
      <c r="I9" s="17">
        <v>1</v>
      </c>
      <c r="J9" s="22">
        <v>2</v>
      </c>
      <c r="K9" s="17">
        <v>3249</v>
      </c>
      <c r="L9" s="23">
        <v>0.1</v>
      </c>
      <c r="M9" s="23">
        <f>(17.23+16.57+16.65)/3</f>
        <v>16.816666666666666</v>
      </c>
    </row>
    <row r="10" spans="1:13" s="24" customFormat="1" x14ac:dyDescent="0.35">
      <c r="A10" s="17">
        <v>9</v>
      </c>
      <c r="B10" s="18">
        <v>45197</v>
      </c>
      <c r="C10" s="19" t="s">
        <v>29</v>
      </c>
      <c r="D10" s="20" t="s">
        <v>257</v>
      </c>
      <c r="E10" s="17">
        <v>1</v>
      </c>
      <c r="F10" s="21" t="s">
        <v>205</v>
      </c>
      <c r="G10" s="21" t="s">
        <v>140</v>
      </c>
      <c r="H10" s="21" t="s">
        <v>108</v>
      </c>
      <c r="I10" s="17">
        <v>1</v>
      </c>
      <c r="J10" s="22">
        <v>2</v>
      </c>
      <c r="K10" s="17">
        <v>3249</v>
      </c>
      <c r="L10" s="23">
        <f>0.7/2.3</f>
        <v>0.30434782608695654</v>
      </c>
      <c r="M10" s="23">
        <f>(12.29+11.87+11.56)/3</f>
        <v>11.906666666666666</v>
      </c>
    </row>
    <row r="11" spans="1:13" s="24" customFormat="1" x14ac:dyDescent="0.35">
      <c r="A11" s="17">
        <v>10</v>
      </c>
      <c r="B11" s="18">
        <v>45197</v>
      </c>
      <c r="C11" s="19" t="s">
        <v>30</v>
      </c>
      <c r="D11" s="20" t="s">
        <v>31</v>
      </c>
      <c r="E11" s="17">
        <v>1</v>
      </c>
      <c r="F11" s="21" t="s">
        <v>204</v>
      </c>
      <c r="G11" s="21" t="s">
        <v>141</v>
      </c>
      <c r="H11" s="21" t="s">
        <v>109</v>
      </c>
      <c r="I11" s="17">
        <v>1</v>
      </c>
      <c r="J11" s="22">
        <v>2</v>
      </c>
      <c r="K11" s="17">
        <v>3249</v>
      </c>
      <c r="L11" s="23">
        <f>500/3000</f>
        <v>0.16666666666666666</v>
      </c>
      <c r="M11" s="23">
        <f>(19.11+17.44+18.81)/3</f>
        <v>18.453333333333333</v>
      </c>
    </row>
    <row r="12" spans="1:13" s="24" customFormat="1" x14ac:dyDescent="0.35">
      <c r="A12" s="17">
        <v>11</v>
      </c>
      <c r="B12" s="18">
        <v>45197</v>
      </c>
      <c r="C12" s="19" t="s">
        <v>261</v>
      </c>
      <c r="D12" s="20" t="s">
        <v>214</v>
      </c>
      <c r="E12" s="17">
        <v>1</v>
      </c>
      <c r="F12" s="21" t="s">
        <v>218</v>
      </c>
      <c r="G12" s="21" t="s">
        <v>217</v>
      </c>
      <c r="H12" s="21" t="s">
        <v>216</v>
      </c>
      <c r="I12" s="17">
        <v>1</v>
      </c>
      <c r="J12" s="22">
        <v>1</v>
      </c>
      <c r="K12" s="17">
        <v>3249</v>
      </c>
      <c r="L12" s="23">
        <v>1</v>
      </c>
      <c r="M12" s="23"/>
    </row>
    <row r="13" spans="1:13" s="24" customFormat="1" x14ac:dyDescent="0.35">
      <c r="A13" s="17">
        <v>12</v>
      </c>
      <c r="B13" s="18">
        <v>45197</v>
      </c>
      <c r="C13" s="19" t="s">
        <v>262</v>
      </c>
      <c r="D13" s="20" t="s">
        <v>215</v>
      </c>
      <c r="E13" s="17">
        <v>1</v>
      </c>
      <c r="F13" s="21" t="s">
        <v>220</v>
      </c>
      <c r="G13" s="21" t="s">
        <v>260</v>
      </c>
      <c r="H13" s="21" t="s">
        <v>219</v>
      </c>
      <c r="I13" s="17">
        <v>1</v>
      </c>
      <c r="J13" s="22">
        <v>1</v>
      </c>
      <c r="K13" s="17">
        <v>3249</v>
      </c>
      <c r="L13" s="23">
        <v>1</v>
      </c>
      <c r="M13" s="23"/>
    </row>
    <row r="14" spans="1:13" s="24" customFormat="1" x14ac:dyDescent="0.35">
      <c r="A14" s="17">
        <v>13</v>
      </c>
      <c r="B14" s="18">
        <v>45201</v>
      </c>
      <c r="C14" s="19" t="s">
        <v>32</v>
      </c>
      <c r="D14" s="20" t="s">
        <v>33</v>
      </c>
      <c r="E14" s="17">
        <v>1</v>
      </c>
      <c r="F14" s="21" t="s">
        <v>203</v>
      </c>
      <c r="G14" s="21" t="s">
        <v>142</v>
      </c>
      <c r="H14" s="21" t="s">
        <v>110</v>
      </c>
      <c r="I14" s="17">
        <v>1</v>
      </c>
      <c r="J14" s="22">
        <v>2</v>
      </c>
      <c r="K14" s="17">
        <v>3197</v>
      </c>
      <c r="L14" s="23">
        <f>0.5/3.5</f>
        <v>0.14285714285714285</v>
      </c>
      <c r="M14" s="23">
        <f>(18+14.15+13.4)/3</f>
        <v>15.183333333333332</v>
      </c>
    </row>
    <row r="15" spans="1:13" s="24" customFormat="1" x14ac:dyDescent="0.35">
      <c r="A15" s="17">
        <v>14</v>
      </c>
      <c r="B15" s="18">
        <v>45201</v>
      </c>
      <c r="C15" s="19" t="s">
        <v>34</v>
      </c>
      <c r="D15" s="20" t="s">
        <v>35</v>
      </c>
      <c r="E15" s="17">
        <v>1</v>
      </c>
      <c r="F15" s="21" t="s">
        <v>202</v>
      </c>
      <c r="G15" s="21" t="s">
        <v>143</v>
      </c>
      <c r="H15" s="21" t="s">
        <v>111</v>
      </c>
      <c r="I15" s="17">
        <v>1</v>
      </c>
      <c r="J15" s="22">
        <v>2</v>
      </c>
      <c r="K15" s="17">
        <v>3197</v>
      </c>
      <c r="L15" s="23">
        <f>0.5/3</f>
        <v>0.16666666666666666</v>
      </c>
      <c r="M15" s="23">
        <f>(18.02+17.92+17.77)/3</f>
        <v>17.903333333333332</v>
      </c>
    </row>
    <row r="16" spans="1:13" s="24" customFormat="1" x14ac:dyDescent="0.35">
      <c r="A16" s="17">
        <v>15</v>
      </c>
      <c r="B16" s="18">
        <v>45201</v>
      </c>
      <c r="C16" s="19" t="s">
        <v>36</v>
      </c>
      <c r="D16" s="20" t="s">
        <v>37</v>
      </c>
      <c r="E16" s="17">
        <v>1</v>
      </c>
      <c r="F16" s="21" t="s">
        <v>201</v>
      </c>
      <c r="G16" s="21" t="s">
        <v>144</v>
      </c>
      <c r="H16" s="21" t="s">
        <v>112</v>
      </c>
      <c r="I16" s="17">
        <v>1</v>
      </c>
      <c r="J16" s="22">
        <v>4</v>
      </c>
      <c r="K16" s="17">
        <v>3197</v>
      </c>
      <c r="L16" s="23">
        <f>0.5/3.2</f>
        <v>0.15625</v>
      </c>
      <c r="M16" s="23">
        <f>(13.05+12+12.96)/3</f>
        <v>12.670000000000002</v>
      </c>
    </row>
    <row r="17" spans="1:13" s="24" customFormat="1" x14ac:dyDescent="0.35">
      <c r="A17" s="17">
        <v>16</v>
      </c>
      <c r="B17" s="18">
        <v>45201</v>
      </c>
      <c r="C17" s="19" t="s">
        <v>38</v>
      </c>
      <c r="D17" s="20" t="s">
        <v>39</v>
      </c>
      <c r="E17" s="17">
        <v>1</v>
      </c>
      <c r="F17" s="21" t="s">
        <v>200</v>
      </c>
      <c r="G17" s="21" t="s">
        <v>145</v>
      </c>
      <c r="H17" s="21" t="s">
        <v>113</v>
      </c>
      <c r="I17" s="17">
        <v>1</v>
      </c>
      <c r="J17" s="22">
        <v>4</v>
      </c>
      <c r="K17" s="17">
        <v>3197</v>
      </c>
      <c r="L17" s="23">
        <f>0.3/3</f>
        <v>9.9999999999999992E-2</v>
      </c>
      <c r="M17" s="23">
        <f>(16.31+16.32+15.79)/3</f>
        <v>16.139999999999997</v>
      </c>
    </row>
    <row r="18" spans="1:13" s="24" customFormat="1" x14ac:dyDescent="0.35">
      <c r="A18" s="17">
        <v>17</v>
      </c>
      <c r="B18" s="18">
        <v>45201</v>
      </c>
      <c r="C18" s="19" t="s">
        <v>40</v>
      </c>
      <c r="D18" s="20" t="s">
        <v>41</v>
      </c>
      <c r="E18" s="17">
        <v>1</v>
      </c>
      <c r="F18" s="21" t="s">
        <v>199</v>
      </c>
      <c r="G18" s="21" t="s">
        <v>146</v>
      </c>
      <c r="H18" s="21" t="s">
        <v>114</v>
      </c>
      <c r="I18" s="17">
        <v>1</v>
      </c>
      <c r="J18" s="22">
        <v>4</v>
      </c>
      <c r="K18" s="17">
        <v>3197</v>
      </c>
      <c r="L18" s="23">
        <f>300/3200</f>
        <v>9.375E-2</v>
      </c>
      <c r="M18" s="23">
        <f>(24.75+22.59+22.75)/3</f>
        <v>23.363333333333333</v>
      </c>
    </row>
    <row r="19" spans="1:13" s="24" customFormat="1" x14ac:dyDescent="0.35">
      <c r="A19" s="17">
        <v>18</v>
      </c>
      <c r="B19" s="18">
        <v>45201</v>
      </c>
      <c r="C19" s="19" t="s">
        <v>263</v>
      </c>
      <c r="D19" s="20" t="s">
        <v>42</v>
      </c>
      <c r="E19" s="17">
        <v>1</v>
      </c>
      <c r="F19" s="21" t="s">
        <v>198</v>
      </c>
      <c r="G19" s="21" t="s">
        <v>147</v>
      </c>
      <c r="H19" s="21" t="s">
        <v>114</v>
      </c>
      <c r="I19" s="17">
        <v>1</v>
      </c>
      <c r="J19" s="22">
        <v>1</v>
      </c>
      <c r="K19" s="17">
        <v>3197</v>
      </c>
      <c r="L19" s="23">
        <v>1</v>
      </c>
      <c r="M19" s="23"/>
    </row>
    <row r="20" spans="1:13" s="24" customFormat="1" x14ac:dyDescent="0.35">
      <c r="A20" s="17">
        <v>19</v>
      </c>
      <c r="B20" s="18">
        <v>45201</v>
      </c>
      <c r="C20" s="19" t="s">
        <v>264</v>
      </c>
      <c r="D20" s="20" t="s">
        <v>43</v>
      </c>
      <c r="E20" s="17">
        <v>1</v>
      </c>
      <c r="F20" s="21" t="s">
        <v>197</v>
      </c>
      <c r="G20" s="21" t="s">
        <v>148</v>
      </c>
      <c r="H20" s="21" t="s">
        <v>114</v>
      </c>
      <c r="I20" s="17">
        <v>1</v>
      </c>
      <c r="J20" s="22">
        <v>1</v>
      </c>
      <c r="K20" s="17">
        <v>3197</v>
      </c>
      <c r="L20" s="23">
        <v>1</v>
      </c>
      <c r="M20" s="23"/>
    </row>
    <row r="21" spans="1:13" s="24" customFormat="1" x14ac:dyDescent="0.35">
      <c r="A21" s="17">
        <v>20</v>
      </c>
      <c r="B21" s="18">
        <v>45202</v>
      </c>
      <c r="C21" s="19" t="s">
        <v>44</v>
      </c>
      <c r="D21" s="20" t="s">
        <v>45</v>
      </c>
      <c r="E21" s="17">
        <v>1</v>
      </c>
      <c r="F21" s="21" t="s">
        <v>196</v>
      </c>
      <c r="G21" s="21" t="s">
        <v>149</v>
      </c>
      <c r="H21" s="21" t="s">
        <v>114</v>
      </c>
      <c r="I21" s="17">
        <v>1</v>
      </c>
      <c r="J21" s="22">
        <v>2</v>
      </c>
      <c r="K21" s="17">
        <v>3175</v>
      </c>
      <c r="L21" s="23">
        <f>0.3/3.5</f>
        <v>8.5714285714285715E-2</v>
      </c>
      <c r="M21" s="23">
        <f>(27.64+27.59+28.83)/3</f>
        <v>28.02</v>
      </c>
    </row>
    <row r="22" spans="1:13" s="24" customFormat="1" x14ac:dyDescent="0.35">
      <c r="A22" s="17">
        <v>21</v>
      </c>
      <c r="B22" s="18">
        <v>45202</v>
      </c>
      <c r="C22" s="19" t="s">
        <v>46</v>
      </c>
      <c r="D22" s="20" t="s">
        <v>47</v>
      </c>
      <c r="E22" s="17">
        <v>1</v>
      </c>
      <c r="F22" s="21" t="s">
        <v>195</v>
      </c>
      <c r="G22" s="21" t="s">
        <v>150</v>
      </c>
      <c r="H22" s="21" t="s">
        <v>114</v>
      </c>
      <c r="I22" s="17">
        <v>1</v>
      </c>
      <c r="J22" s="22">
        <v>2</v>
      </c>
      <c r="K22" s="17">
        <v>3175</v>
      </c>
      <c r="L22" s="23">
        <f>0.2/3</f>
        <v>6.6666666666666666E-2</v>
      </c>
      <c r="M22" s="23">
        <f>(32.45+30.41+30.87)/3</f>
        <v>31.243333333333336</v>
      </c>
    </row>
    <row r="23" spans="1:13" s="24" customFormat="1" x14ac:dyDescent="0.35">
      <c r="A23" s="17">
        <v>22</v>
      </c>
      <c r="B23" s="18">
        <v>45202</v>
      </c>
      <c r="C23" s="19" t="s">
        <v>48</v>
      </c>
      <c r="D23" s="20" t="s">
        <v>49</v>
      </c>
      <c r="E23" s="17">
        <v>1</v>
      </c>
      <c r="F23" s="21" t="s">
        <v>194</v>
      </c>
      <c r="G23" s="21" t="s">
        <v>151</v>
      </c>
      <c r="H23" s="21" t="s">
        <v>114</v>
      </c>
      <c r="I23" s="17">
        <v>1</v>
      </c>
      <c r="J23" s="22">
        <v>2</v>
      </c>
      <c r="K23" s="17">
        <v>3175</v>
      </c>
      <c r="L23" s="23">
        <f>0.2/3</f>
        <v>6.6666666666666666E-2</v>
      </c>
      <c r="M23" s="23">
        <f>(27.62+28.2+27.68)/3</f>
        <v>27.833333333333332</v>
      </c>
    </row>
    <row r="24" spans="1:13" s="24" customFormat="1" x14ac:dyDescent="0.35">
      <c r="A24" s="17">
        <v>23</v>
      </c>
      <c r="B24" s="18">
        <v>45202</v>
      </c>
      <c r="C24" s="19" t="s">
        <v>50</v>
      </c>
      <c r="D24" s="20" t="s">
        <v>51</v>
      </c>
      <c r="E24" s="17">
        <v>1</v>
      </c>
      <c r="F24" s="21" t="s">
        <v>193</v>
      </c>
      <c r="G24" s="21" t="s">
        <v>152</v>
      </c>
      <c r="H24" s="21" t="s">
        <v>114</v>
      </c>
      <c r="I24" s="17">
        <v>1</v>
      </c>
      <c r="J24" s="22">
        <v>2</v>
      </c>
      <c r="K24" s="17">
        <v>3175</v>
      </c>
      <c r="L24" s="23">
        <f>0.8/3</f>
        <v>0.26666666666666666</v>
      </c>
      <c r="M24" s="23">
        <f>(7.133+8.001+8.719)/3</f>
        <v>7.9510000000000005</v>
      </c>
    </row>
    <row r="25" spans="1:13" s="24" customFormat="1" x14ac:dyDescent="0.35">
      <c r="A25" s="17">
        <v>24</v>
      </c>
      <c r="B25" s="18">
        <v>45202</v>
      </c>
      <c r="C25" s="19" t="s">
        <v>52</v>
      </c>
      <c r="D25" s="20" t="s">
        <v>53</v>
      </c>
      <c r="E25" s="17">
        <v>1</v>
      </c>
      <c r="F25" s="21" t="s">
        <v>192</v>
      </c>
      <c r="G25" s="21" t="s">
        <v>153</v>
      </c>
      <c r="H25" s="21" t="s">
        <v>114</v>
      </c>
      <c r="I25" s="17">
        <v>1</v>
      </c>
      <c r="J25" s="22">
        <v>2</v>
      </c>
      <c r="K25" s="17">
        <v>3175</v>
      </c>
      <c r="L25" s="23">
        <f>0.5/3</f>
        <v>0.16666666666666666</v>
      </c>
      <c r="M25" s="23">
        <f>(9.235+9.476+9.671)/3</f>
        <v>9.4606666666666666</v>
      </c>
    </row>
    <row r="26" spans="1:13" s="24" customFormat="1" x14ac:dyDescent="0.35">
      <c r="A26" s="17">
        <v>25</v>
      </c>
      <c r="B26" s="18">
        <v>45202</v>
      </c>
      <c r="C26" s="21" t="s">
        <v>265</v>
      </c>
      <c r="D26" s="21" t="s">
        <v>54</v>
      </c>
      <c r="E26" s="17">
        <v>1</v>
      </c>
      <c r="F26" s="21" t="s">
        <v>222</v>
      </c>
      <c r="G26" s="21" t="s">
        <v>154</v>
      </c>
      <c r="H26" s="21" t="s">
        <v>221</v>
      </c>
      <c r="I26" s="17">
        <v>1</v>
      </c>
      <c r="J26" s="22">
        <v>1</v>
      </c>
      <c r="K26" s="17">
        <v>3175</v>
      </c>
      <c r="L26" s="23">
        <v>1</v>
      </c>
      <c r="M26" s="21"/>
    </row>
    <row r="27" spans="1:13" s="24" customFormat="1" x14ac:dyDescent="0.35">
      <c r="A27" s="17">
        <v>26</v>
      </c>
      <c r="B27" s="18">
        <v>45202</v>
      </c>
      <c r="C27" s="21" t="s">
        <v>266</v>
      </c>
      <c r="D27" s="21" t="s">
        <v>55</v>
      </c>
      <c r="E27" s="17">
        <v>1</v>
      </c>
      <c r="F27" s="21" t="s">
        <v>191</v>
      </c>
      <c r="G27" s="21" t="s">
        <v>155</v>
      </c>
      <c r="H27" s="21" t="s">
        <v>115</v>
      </c>
      <c r="I27" s="17">
        <v>1</v>
      </c>
      <c r="J27" s="22">
        <v>1</v>
      </c>
      <c r="K27" s="17">
        <v>3175</v>
      </c>
      <c r="L27" s="23">
        <v>1</v>
      </c>
      <c r="M27" s="21"/>
    </row>
    <row r="28" spans="1:13" s="24" customFormat="1" x14ac:dyDescent="0.35">
      <c r="A28" s="17">
        <v>27</v>
      </c>
      <c r="B28" s="18">
        <v>45204</v>
      </c>
      <c r="C28" s="21" t="s">
        <v>56</v>
      </c>
      <c r="D28" s="21" t="s">
        <v>57</v>
      </c>
      <c r="E28" s="17">
        <v>1</v>
      </c>
      <c r="F28" s="21" t="s">
        <v>190</v>
      </c>
      <c r="G28" s="21" t="s">
        <v>156</v>
      </c>
      <c r="H28" s="21" t="s">
        <v>116</v>
      </c>
      <c r="I28" s="17">
        <v>1</v>
      </c>
      <c r="J28" s="22">
        <v>1</v>
      </c>
      <c r="K28" s="17">
        <v>3265</v>
      </c>
      <c r="L28" s="23">
        <f>500/3200</f>
        <v>0.15625</v>
      </c>
      <c r="M28" s="21">
        <f>(13.02+12.58+14.28)/3</f>
        <v>13.293333333333335</v>
      </c>
    </row>
    <row r="29" spans="1:13" s="24" customFormat="1" x14ac:dyDescent="0.35">
      <c r="A29" s="17">
        <v>28</v>
      </c>
      <c r="B29" s="18">
        <v>45204</v>
      </c>
      <c r="C29" s="21" t="s">
        <v>58</v>
      </c>
      <c r="D29" s="21" t="s">
        <v>59</v>
      </c>
      <c r="E29" s="17">
        <v>1</v>
      </c>
      <c r="F29" s="21" t="s">
        <v>189</v>
      </c>
      <c r="G29" s="21" t="s">
        <v>157</v>
      </c>
      <c r="H29" s="21" t="s">
        <v>117</v>
      </c>
      <c r="I29" s="17">
        <v>1</v>
      </c>
      <c r="J29" s="22">
        <v>2</v>
      </c>
      <c r="K29" s="17">
        <v>3265</v>
      </c>
      <c r="L29" s="23">
        <f>0.3/3</f>
        <v>9.9999999999999992E-2</v>
      </c>
      <c r="M29" s="21">
        <f>(16.14+17.7+17.13)/3</f>
        <v>16.989999999999998</v>
      </c>
    </row>
    <row r="30" spans="1:13" s="24" customFormat="1" x14ac:dyDescent="0.35">
      <c r="A30" s="17">
        <v>29</v>
      </c>
      <c r="B30" s="18">
        <v>45204</v>
      </c>
      <c r="C30" s="21" t="s">
        <v>60</v>
      </c>
      <c r="D30" s="21" t="s">
        <v>61</v>
      </c>
      <c r="E30" s="17">
        <v>1</v>
      </c>
      <c r="F30" s="21" t="s">
        <v>188</v>
      </c>
      <c r="G30" s="21" t="s">
        <v>158</v>
      </c>
      <c r="H30" s="21" t="s">
        <v>118</v>
      </c>
      <c r="I30" s="17">
        <v>1</v>
      </c>
      <c r="J30" s="22">
        <v>2</v>
      </c>
      <c r="K30" s="17">
        <v>3265</v>
      </c>
      <c r="L30" s="23">
        <f>200/3000</f>
        <v>6.6666666666666666E-2</v>
      </c>
      <c r="M30" s="21">
        <f>(27.54+25.62+26.14)/3</f>
        <v>26.433333333333334</v>
      </c>
    </row>
    <row r="31" spans="1:13" s="24" customFormat="1" x14ac:dyDescent="0.35">
      <c r="A31" s="17">
        <v>30</v>
      </c>
      <c r="B31" s="18">
        <v>45204</v>
      </c>
      <c r="C31" s="18" t="s">
        <v>62</v>
      </c>
      <c r="D31" s="21" t="s">
        <v>63</v>
      </c>
      <c r="E31" s="17">
        <v>1</v>
      </c>
      <c r="F31" s="25" t="s">
        <v>187</v>
      </c>
      <c r="G31" s="25" t="s">
        <v>159</v>
      </c>
      <c r="H31" s="25" t="s">
        <v>119</v>
      </c>
      <c r="I31" s="17">
        <v>1</v>
      </c>
      <c r="J31" s="22">
        <v>2</v>
      </c>
      <c r="K31" s="17">
        <v>3265</v>
      </c>
      <c r="L31" s="23">
        <f>200/3000</f>
        <v>6.6666666666666666E-2</v>
      </c>
      <c r="M31" s="21">
        <f>(28.34+32.45+28.05)/3</f>
        <v>29.613333333333333</v>
      </c>
    </row>
    <row r="32" spans="1:13" s="24" customFormat="1" x14ac:dyDescent="0.35">
      <c r="A32" s="17">
        <v>31</v>
      </c>
      <c r="B32" s="18">
        <v>45204</v>
      </c>
      <c r="C32" s="18" t="s">
        <v>64</v>
      </c>
      <c r="D32" s="25" t="s">
        <v>258</v>
      </c>
      <c r="E32" s="17">
        <v>1</v>
      </c>
      <c r="F32" s="25" t="s">
        <v>186</v>
      </c>
      <c r="G32" s="25" t="s">
        <v>160</v>
      </c>
      <c r="H32" s="25" t="s">
        <v>120</v>
      </c>
      <c r="I32" s="17">
        <v>1</v>
      </c>
      <c r="J32" s="22">
        <v>2</v>
      </c>
      <c r="K32" s="17">
        <v>3265</v>
      </c>
      <c r="L32" s="23">
        <f>600/3000</f>
        <v>0.2</v>
      </c>
      <c r="M32" s="21">
        <f>(9.973+11.23+9.6)/3</f>
        <v>10.267666666666669</v>
      </c>
    </row>
    <row r="33" spans="1:13" s="24" customFormat="1" x14ac:dyDescent="0.35">
      <c r="A33" s="17">
        <v>32</v>
      </c>
      <c r="B33" s="18">
        <v>45204</v>
      </c>
      <c r="C33" s="18" t="s">
        <v>65</v>
      </c>
      <c r="D33" s="25" t="s">
        <v>66</v>
      </c>
      <c r="E33" s="17">
        <v>1</v>
      </c>
      <c r="F33" s="25" t="s">
        <v>185</v>
      </c>
      <c r="G33" s="25" t="s">
        <v>161</v>
      </c>
      <c r="H33" s="25" t="s">
        <v>121</v>
      </c>
      <c r="I33" s="17">
        <v>1</v>
      </c>
      <c r="J33" s="22">
        <v>2</v>
      </c>
      <c r="K33" s="17">
        <v>3265</v>
      </c>
      <c r="L33" s="23">
        <f>800/3000</f>
        <v>0.26666666666666666</v>
      </c>
      <c r="M33" s="21">
        <f>(7.339+7.836+7.763)/3</f>
        <v>7.6460000000000008</v>
      </c>
    </row>
    <row r="34" spans="1:13" s="24" customFormat="1" x14ac:dyDescent="0.35">
      <c r="A34" s="17">
        <v>33</v>
      </c>
      <c r="B34" s="18">
        <v>45204</v>
      </c>
      <c r="C34" s="18" t="s">
        <v>67</v>
      </c>
      <c r="D34" s="25" t="s">
        <v>68</v>
      </c>
      <c r="E34" s="17">
        <v>1</v>
      </c>
      <c r="F34" s="25" t="s">
        <v>184</v>
      </c>
      <c r="G34" s="25" t="s">
        <v>162</v>
      </c>
      <c r="H34" s="25" t="s">
        <v>122</v>
      </c>
      <c r="I34" s="17">
        <v>1</v>
      </c>
      <c r="J34" s="22">
        <v>2</v>
      </c>
      <c r="K34" s="17">
        <v>3265</v>
      </c>
      <c r="L34" s="23">
        <f>700/3000</f>
        <v>0.23333333333333334</v>
      </c>
      <c r="M34" s="21">
        <f>(8.415+7.893+7.536)/3</f>
        <v>7.9480000000000004</v>
      </c>
    </row>
    <row r="35" spans="1:13" s="24" customFormat="1" x14ac:dyDescent="0.35">
      <c r="A35" s="17">
        <v>34</v>
      </c>
      <c r="B35" s="18">
        <v>45204</v>
      </c>
      <c r="C35" s="18" t="s">
        <v>69</v>
      </c>
      <c r="D35" s="25" t="s">
        <v>70</v>
      </c>
      <c r="E35" s="17">
        <v>1</v>
      </c>
      <c r="F35" s="25" t="s">
        <v>183</v>
      </c>
      <c r="G35" s="25" t="s">
        <v>163</v>
      </c>
      <c r="H35" s="25" t="s">
        <v>123</v>
      </c>
      <c r="I35" s="17">
        <v>1</v>
      </c>
      <c r="J35" s="22">
        <v>2</v>
      </c>
      <c r="K35" s="17">
        <v>3265</v>
      </c>
      <c r="L35" s="23">
        <f>400/3000</f>
        <v>0.13333333333333333</v>
      </c>
      <c r="M35" s="21">
        <f>(12.37+12.24+12.43)/3</f>
        <v>12.346666666666666</v>
      </c>
    </row>
    <row r="36" spans="1:13" s="24" customFormat="1" x14ac:dyDescent="0.35">
      <c r="A36" s="17">
        <v>35</v>
      </c>
      <c r="B36" s="18">
        <v>45204</v>
      </c>
      <c r="C36" s="18" t="s">
        <v>71</v>
      </c>
      <c r="D36" s="25" t="s">
        <v>72</v>
      </c>
      <c r="E36" s="17">
        <v>1</v>
      </c>
      <c r="F36" s="25" t="s">
        <v>182</v>
      </c>
      <c r="G36" s="25" t="s">
        <v>164</v>
      </c>
      <c r="H36" s="25" t="s">
        <v>124</v>
      </c>
      <c r="I36" s="17">
        <v>1</v>
      </c>
      <c r="J36" s="22">
        <v>2</v>
      </c>
      <c r="K36" s="17">
        <v>3265</v>
      </c>
      <c r="L36" s="23">
        <f>300/3000</f>
        <v>0.1</v>
      </c>
      <c r="M36" s="21">
        <f>(17.96+19.31+16.21)/3</f>
        <v>17.826666666666664</v>
      </c>
    </row>
    <row r="37" spans="1:13" s="24" customFormat="1" x14ac:dyDescent="0.35">
      <c r="A37" s="17">
        <v>36</v>
      </c>
      <c r="B37" s="18">
        <v>45204</v>
      </c>
      <c r="C37" s="18" t="s">
        <v>267</v>
      </c>
      <c r="D37" s="25" t="s">
        <v>73</v>
      </c>
      <c r="E37" s="17">
        <v>1</v>
      </c>
      <c r="F37" s="25" t="s">
        <v>181</v>
      </c>
      <c r="G37" s="25" t="s">
        <v>165</v>
      </c>
      <c r="H37" s="25" t="s">
        <v>125</v>
      </c>
      <c r="I37" s="17">
        <v>1</v>
      </c>
      <c r="J37" s="22">
        <v>1</v>
      </c>
      <c r="K37" s="17">
        <v>3265</v>
      </c>
      <c r="L37" s="23">
        <v>1</v>
      </c>
      <c r="M37" s="21"/>
    </row>
    <row r="38" spans="1:13" s="24" customFormat="1" x14ac:dyDescent="0.35">
      <c r="A38" s="17">
        <v>37</v>
      </c>
      <c r="B38" s="18">
        <v>45204</v>
      </c>
      <c r="C38" s="18" t="s">
        <v>268</v>
      </c>
      <c r="D38" s="25" t="s">
        <v>74</v>
      </c>
      <c r="E38" s="17">
        <v>1</v>
      </c>
      <c r="F38" s="25" t="s">
        <v>180</v>
      </c>
      <c r="G38" s="25" t="s">
        <v>166</v>
      </c>
      <c r="H38" s="25" t="s">
        <v>126</v>
      </c>
      <c r="I38" s="17">
        <v>1</v>
      </c>
      <c r="J38" s="22">
        <v>1</v>
      </c>
      <c r="K38" s="17">
        <v>3265</v>
      </c>
      <c r="L38" s="23">
        <v>1</v>
      </c>
      <c r="M38" s="21"/>
    </row>
    <row r="39" spans="1:13" s="24" customFormat="1" x14ac:dyDescent="0.35">
      <c r="A39" s="17">
        <v>38</v>
      </c>
      <c r="B39" s="18">
        <v>45204</v>
      </c>
      <c r="C39" s="18" t="s">
        <v>75</v>
      </c>
      <c r="D39" s="25" t="s">
        <v>259</v>
      </c>
      <c r="E39" s="17">
        <v>1</v>
      </c>
      <c r="F39" s="25" t="s">
        <v>179</v>
      </c>
      <c r="G39" s="25" t="s">
        <v>167</v>
      </c>
      <c r="H39" s="25" t="s">
        <v>127</v>
      </c>
      <c r="I39" s="17">
        <v>1</v>
      </c>
      <c r="J39" s="22">
        <v>2</v>
      </c>
      <c r="K39" s="17">
        <v>3265</v>
      </c>
      <c r="L39" s="23">
        <f>300/3000</f>
        <v>0.1</v>
      </c>
      <c r="M39" s="21">
        <f>(20.15+18.91+22.63)/3</f>
        <v>20.563333333333333</v>
      </c>
    </row>
    <row r="40" spans="1:13" s="24" customFormat="1" x14ac:dyDescent="0.35">
      <c r="A40" s="17">
        <v>39</v>
      </c>
      <c r="B40" s="18">
        <v>45204</v>
      </c>
      <c r="C40" s="18" t="s">
        <v>76</v>
      </c>
      <c r="D40" s="25" t="s">
        <v>77</v>
      </c>
      <c r="E40" s="17">
        <v>1</v>
      </c>
      <c r="F40" s="25" t="s">
        <v>178</v>
      </c>
      <c r="G40" s="25" t="s">
        <v>168</v>
      </c>
      <c r="H40" s="25" t="s">
        <v>128</v>
      </c>
      <c r="I40" s="17">
        <v>1</v>
      </c>
      <c r="J40" s="22">
        <v>2</v>
      </c>
      <c r="K40" s="17">
        <v>3265</v>
      </c>
      <c r="L40" s="26">
        <f>500/3000</f>
        <v>0.16666666666666666</v>
      </c>
      <c r="M40" s="21">
        <f>(12.33+11.69+11.28)/3</f>
        <v>11.766666666666666</v>
      </c>
    </row>
    <row r="41" spans="1:13" s="24" customFormat="1" x14ac:dyDescent="0.35">
      <c r="A41" s="17">
        <v>40</v>
      </c>
      <c r="B41" s="18">
        <v>45204</v>
      </c>
      <c r="C41" s="18" t="s">
        <v>78</v>
      </c>
      <c r="D41" s="25" t="s">
        <v>79</v>
      </c>
      <c r="E41" s="17">
        <v>1</v>
      </c>
      <c r="F41" s="25" t="s">
        <v>177</v>
      </c>
      <c r="G41" s="25" t="s">
        <v>169</v>
      </c>
      <c r="H41" s="25" t="s">
        <v>129</v>
      </c>
      <c r="I41" s="17">
        <v>1</v>
      </c>
      <c r="J41" s="22">
        <v>2</v>
      </c>
      <c r="K41" s="17">
        <v>3265</v>
      </c>
      <c r="L41" s="23">
        <f>500/3200</f>
        <v>0.15625</v>
      </c>
      <c r="M41" s="21">
        <f>(14.54+14.72)/2</f>
        <v>14.629999999999999</v>
      </c>
    </row>
    <row r="42" spans="1:13" s="24" customFormat="1" x14ac:dyDescent="0.35">
      <c r="A42" s="17">
        <v>41</v>
      </c>
      <c r="B42" s="18">
        <v>45204</v>
      </c>
      <c r="C42" s="18" t="s">
        <v>80</v>
      </c>
      <c r="D42" s="25" t="s">
        <v>81</v>
      </c>
      <c r="E42" s="17">
        <v>1</v>
      </c>
      <c r="F42" s="25" t="s">
        <v>176</v>
      </c>
      <c r="G42" s="25" t="s">
        <v>170</v>
      </c>
      <c r="H42" s="25" t="s">
        <v>130</v>
      </c>
      <c r="I42" s="17">
        <v>1</v>
      </c>
      <c r="J42" s="22">
        <v>2</v>
      </c>
      <c r="K42" s="17">
        <v>3265</v>
      </c>
      <c r="L42" s="23">
        <f>600/3000</f>
        <v>0.2</v>
      </c>
      <c r="M42" s="21">
        <f>(7.246+7.81)/2</f>
        <v>7.5280000000000005</v>
      </c>
    </row>
    <row r="43" spans="1:13" s="24" customFormat="1" x14ac:dyDescent="0.35">
      <c r="A43" s="17">
        <v>42</v>
      </c>
      <c r="B43" s="18">
        <v>45204</v>
      </c>
      <c r="C43" s="18" t="s">
        <v>82</v>
      </c>
      <c r="D43" s="25" t="s">
        <v>83</v>
      </c>
      <c r="E43" s="17">
        <v>1</v>
      </c>
      <c r="F43" s="25" t="s">
        <v>175</v>
      </c>
      <c r="G43" s="25" t="s">
        <v>171</v>
      </c>
      <c r="H43" s="25" t="s">
        <v>131</v>
      </c>
      <c r="I43" s="17">
        <v>1</v>
      </c>
      <c r="J43" s="22">
        <v>2</v>
      </c>
      <c r="K43" s="17">
        <v>3265</v>
      </c>
      <c r="L43" s="23">
        <f>800/3000</f>
        <v>0.26666666666666666</v>
      </c>
      <c r="M43" s="21">
        <f>(7.382+6.708)/2</f>
        <v>7.0449999999999999</v>
      </c>
    </row>
    <row r="44" spans="1:13" s="24" customFormat="1" x14ac:dyDescent="0.35">
      <c r="A44" s="17">
        <v>43</v>
      </c>
      <c r="B44" s="18">
        <v>45204</v>
      </c>
      <c r="C44" s="18" t="s">
        <v>84</v>
      </c>
      <c r="D44" s="25" t="s">
        <v>223</v>
      </c>
      <c r="E44" s="17">
        <v>1</v>
      </c>
      <c r="F44" s="25" t="s">
        <v>225</v>
      </c>
      <c r="G44" s="25" t="s">
        <v>172</v>
      </c>
      <c r="H44" s="25" t="s">
        <v>224</v>
      </c>
      <c r="I44" s="17">
        <v>1</v>
      </c>
      <c r="J44" s="22">
        <v>2</v>
      </c>
      <c r="K44" s="17">
        <v>3265</v>
      </c>
      <c r="L44" s="23">
        <f>900/3000</f>
        <v>0.3</v>
      </c>
      <c r="M44" s="21">
        <f>(7.426+6.728)/2</f>
        <v>7.077</v>
      </c>
    </row>
    <row r="45" spans="1:13" s="24" customFormat="1" x14ac:dyDescent="0.35">
      <c r="A45" s="17">
        <v>44</v>
      </c>
      <c r="B45" s="18">
        <v>45204</v>
      </c>
      <c r="C45" s="18" t="s">
        <v>85</v>
      </c>
      <c r="D45" s="25" t="s">
        <v>86</v>
      </c>
      <c r="E45" s="17">
        <v>1</v>
      </c>
      <c r="F45" s="25" t="s">
        <v>174</v>
      </c>
      <c r="G45" s="25" t="s">
        <v>173</v>
      </c>
      <c r="H45" s="25" t="s">
        <v>132</v>
      </c>
      <c r="I45" s="17">
        <v>1</v>
      </c>
      <c r="J45" s="22">
        <v>2</v>
      </c>
      <c r="K45" s="17">
        <v>3265</v>
      </c>
      <c r="L45" s="23">
        <f>600/3000</f>
        <v>0.2</v>
      </c>
      <c r="M45" s="21">
        <f>(9.712+8.254+7.631)/3</f>
        <v>8.5323333333333338</v>
      </c>
    </row>
    <row r="46" spans="1:13" s="24" customFormat="1" x14ac:dyDescent="0.35">
      <c r="A46" s="17">
        <v>45</v>
      </c>
      <c r="B46" s="18">
        <v>45211</v>
      </c>
      <c r="C46" s="18" t="s">
        <v>87</v>
      </c>
      <c r="D46" s="25" t="s">
        <v>88</v>
      </c>
      <c r="E46" s="17">
        <v>1</v>
      </c>
      <c r="F46" s="25" t="s">
        <v>228</v>
      </c>
      <c r="G46" s="25" t="s">
        <v>227</v>
      </c>
      <c r="H46" s="25" t="s">
        <v>226</v>
      </c>
      <c r="I46" s="17">
        <v>1</v>
      </c>
      <c r="J46" s="22">
        <v>2</v>
      </c>
      <c r="K46" s="17">
        <v>3220</v>
      </c>
      <c r="L46" s="23">
        <f>700/3000</f>
        <v>0.23333333333333334</v>
      </c>
      <c r="M46" s="21">
        <v>23.07</v>
      </c>
    </row>
    <row r="47" spans="1:13" s="24" customFormat="1" x14ac:dyDescent="0.35">
      <c r="A47" s="17">
        <v>46</v>
      </c>
      <c r="B47" s="18">
        <v>45211</v>
      </c>
      <c r="C47" s="18" t="s">
        <v>89</v>
      </c>
      <c r="D47" s="25" t="s">
        <v>90</v>
      </c>
      <c r="E47" s="17">
        <v>1</v>
      </c>
      <c r="F47" s="25" t="s">
        <v>231</v>
      </c>
      <c r="G47" s="25" t="s">
        <v>230</v>
      </c>
      <c r="H47" s="25" t="s">
        <v>229</v>
      </c>
      <c r="I47" s="17">
        <v>1</v>
      </c>
      <c r="J47" s="22">
        <v>1</v>
      </c>
      <c r="K47" s="17">
        <v>3220</v>
      </c>
      <c r="L47" s="23">
        <f>700/3000</f>
        <v>0.23333333333333334</v>
      </c>
      <c r="M47" s="21">
        <v>30.33</v>
      </c>
    </row>
    <row r="48" spans="1:13" s="24" customFormat="1" x14ac:dyDescent="0.35">
      <c r="A48" s="17">
        <v>47</v>
      </c>
      <c r="B48" s="18">
        <v>45211</v>
      </c>
      <c r="C48" s="18" t="s">
        <v>91</v>
      </c>
      <c r="D48" s="25" t="s">
        <v>92</v>
      </c>
      <c r="E48" s="17">
        <v>1</v>
      </c>
      <c r="F48" s="25" t="s">
        <v>237</v>
      </c>
      <c r="G48" s="25" t="s">
        <v>236</v>
      </c>
      <c r="H48" s="25" t="s">
        <v>235</v>
      </c>
      <c r="I48" s="17">
        <v>1</v>
      </c>
      <c r="J48" s="22">
        <v>2</v>
      </c>
      <c r="K48" s="17">
        <v>3220</v>
      </c>
      <c r="L48" s="23">
        <f>1.6/(1.6+2.3)</f>
        <v>0.4102564102564103</v>
      </c>
      <c r="M48" s="21">
        <v>12.36</v>
      </c>
    </row>
    <row r="49" spans="1:13" s="24" customFormat="1" x14ac:dyDescent="0.35">
      <c r="A49" s="17">
        <v>48</v>
      </c>
      <c r="B49" s="18">
        <v>45211</v>
      </c>
      <c r="C49" s="18" t="s">
        <v>93</v>
      </c>
      <c r="D49" s="25" t="s">
        <v>94</v>
      </c>
      <c r="E49" s="17">
        <v>1</v>
      </c>
      <c r="F49" s="25" t="s">
        <v>234</v>
      </c>
      <c r="G49" s="25" t="s">
        <v>233</v>
      </c>
      <c r="H49" s="25" t="s">
        <v>232</v>
      </c>
      <c r="I49" s="17">
        <v>1</v>
      </c>
      <c r="J49" s="22">
        <v>2</v>
      </c>
      <c r="K49" s="17">
        <v>3220</v>
      </c>
      <c r="L49" s="26">
        <f>300/3000</f>
        <v>0.1</v>
      </c>
      <c r="M49" s="21">
        <v>53.81</v>
      </c>
    </row>
    <row r="50" spans="1:13" s="24" customFormat="1" x14ac:dyDescent="0.35">
      <c r="A50" s="17">
        <v>49</v>
      </c>
      <c r="B50" s="18">
        <v>45211</v>
      </c>
      <c r="C50" s="18" t="s">
        <v>95</v>
      </c>
      <c r="D50" s="25" t="s">
        <v>96</v>
      </c>
      <c r="E50" s="17">
        <v>1</v>
      </c>
      <c r="F50" s="25" t="s">
        <v>240</v>
      </c>
      <c r="G50" s="25" t="s">
        <v>239</v>
      </c>
      <c r="H50" s="25" t="s">
        <v>238</v>
      </c>
      <c r="I50" s="17">
        <v>1</v>
      </c>
      <c r="J50" s="22">
        <v>2</v>
      </c>
      <c r="K50" s="17">
        <v>3220</v>
      </c>
      <c r="L50" s="26">
        <f>2000/3000</f>
        <v>0.66666666666666663</v>
      </c>
      <c r="M50" s="21">
        <v>9.2870000000000008</v>
      </c>
    </row>
    <row r="51" spans="1:13" s="24" customFormat="1" x14ac:dyDescent="0.35">
      <c r="A51" s="17">
        <v>50</v>
      </c>
      <c r="B51" s="18">
        <v>45211</v>
      </c>
      <c r="C51" s="18" t="s">
        <v>97</v>
      </c>
      <c r="D51" s="25" t="s">
        <v>98</v>
      </c>
      <c r="E51" s="17">
        <v>1</v>
      </c>
      <c r="F51" s="25" t="s">
        <v>243</v>
      </c>
      <c r="G51" s="25" t="s">
        <v>242</v>
      </c>
      <c r="H51" s="25" t="s">
        <v>241</v>
      </c>
      <c r="I51" s="17">
        <v>1</v>
      </c>
      <c r="J51" s="22">
        <v>1</v>
      </c>
      <c r="K51" s="17">
        <v>3220</v>
      </c>
      <c r="L51" s="26">
        <f>1800/3000</f>
        <v>0.6</v>
      </c>
      <c r="M51" s="21">
        <v>25.54</v>
      </c>
    </row>
    <row r="52" spans="1:13" s="24" customFormat="1" x14ac:dyDescent="0.35">
      <c r="A52" s="17">
        <v>51</v>
      </c>
      <c r="B52" s="18">
        <v>45211</v>
      </c>
      <c r="C52" s="18" t="s">
        <v>99</v>
      </c>
      <c r="D52" s="25" t="s">
        <v>100</v>
      </c>
      <c r="E52" s="17">
        <v>1</v>
      </c>
      <c r="F52" s="25" t="s">
        <v>246</v>
      </c>
      <c r="G52" s="25" t="s">
        <v>245</v>
      </c>
      <c r="H52" s="25" t="s">
        <v>244</v>
      </c>
      <c r="I52" s="17">
        <v>1</v>
      </c>
      <c r="J52" s="22">
        <v>2</v>
      </c>
      <c r="K52" s="17">
        <v>3220</v>
      </c>
      <c r="L52" s="26">
        <f>1500/3000</f>
        <v>0.5</v>
      </c>
      <c r="M52" s="21">
        <v>13.19</v>
      </c>
    </row>
    <row r="53" spans="1:13" s="24" customFormat="1" x14ac:dyDescent="0.35">
      <c r="A53" s="17">
        <v>52</v>
      </c>
      <c r="B53" s="18">
        <v>45211</v>
      </c>
      <c r="C53" s="18" t="s">
        <v>269</v>
      </c>
      <c r="D53" s="25" t="s">
        <v>247</v>
      </c>
      <c r="E53" s="17">
        <v>1</v>
      </c>
      <c r="F53" s="25" t="s">
        <v>250</v>
      </c>
      <c r="G53" s="25" t="s">
        <v>249</v>
      </c>
      <c r="H53" s="25" t="s">
        <v>248</v>
      </c>
      <c r="I53" s="17">
        <v>1</v>
      </c>
      <c r="J53" s="22">
        <v>1</v>
      </c>
      <c r="K53" s="17">
        <v>3220</v>
      </c>
      <c r="L53" s="26">
        <v>1</v>
      </c>
      <c r="M53" s="21"/>
    </row>
    <row r="54" spans="1:13" s="24" customFormat="1" x14ac:dyDescent="0.35">
      <c r="A54" s="17">
        <v>53</v>
      </c>
      <c r="B54" s="18">
        <v>45211</v>
      </c>
      <c r="C54" s="18" t="s">
        <v>270</v>
      </c>
      <c r="D54" s="25" t="s">
        <v>251</v>
      </c>
      <c r="E54" s="17">
        <v>1</v>
      </c>
      <c r="F54" s="25" t="s">
        <v>254</v>
      </c>
      <c r="G54" s="25" t="s">
        <v>253</v>
      </c>
      <c r="H54" s="25" t="s">
        <v>252</v>
      </c>
      <c r="I54" s="17">
        <v>1</v>
      </c>
      <c r="J54" s="22">
        <v>1</v>
      </c>
      <c r="K54" s="17">
        <v>3220</v>
      </c>
      <c r="L54" s="26">
        <v>1</v>
      </c>
      <c r="M54" s="21"/>
    </row>
  </sheetData>
  <sortState xmlns:xlrd2="http://schemas.microsoft.com/office/spreadsheetml/2017/richdata2" ref="A2:M49">
    <sortCondition ref="A2:A49"/>
  </sortState>
  <phoneticPr fontId="2" type="noConversion"/>
  <dataValidations count="2">
    <dataValidation operator="lessThan" allowBlank="1" showInputMessage="1" showErrorMessage="1" sqref="C1" xr:uid="{5FA5E408-7820-4560-9448-59549073E559}"/>
    <dataValidation type="textLength" operator="lessThan" allowBlank="1" showInputMessage="1" showErrorMessage="1" sqref="C2:C1048576" xr:uid="{91B65685-9DD5-4A81-A397-EEC12A8E737E}">
      <formula1>60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853A563ABF64B8421887057055B0F" ma:contentTypeVersion="13" ma:contentTypeDescription="Create a new document." ma:contentTypeScope="" ma:versionID="73e5d7f23b6143b72c394d0b791b373d">
  <xsd:schema xmlns:xsd="http://www.w3.org/2001/XMLSchema" xmlns:xs="http://www.w3.org/2001/XMLSchema" xmlns:p="http://schemas.microsoft.com/office/2006/metadata/properties" xmlns:ns2="03570766-e33a-4164-8943-6d32a7ac417a" xmlns:ns3="5cece13e-3376-4417-9525-be60b11a89a8" xmlns:ns4="482683a9-e61d-4853-b10b-3f4a908e17aa" targetNamespace="http://schemas.microsoft.com/office/2006/metadata/properties" ma:root="true" ma:fieldsID="bd41d5c3e91c11ef649cb8e5f5e12511" ns2:_="" ns3:_="" ns4:_="">
    <xsd:import namespace="03570766-e33a-4164-8943-6d32a7ac417a"/>
    <xsd:import namespace="5cece13e-3376-4417-9525-be60b11a89a8"/>
    <xsd:import namespace="482683a9-e61d-4853-b10b-3f4a908e1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70766-e33a-4164-8943-6d32a7ac4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ce13e-3376-4417-9525-be60b11a89a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c29049-4fc3-4a52-bb3d-4f0ab258ea96}" ma:internalName="TaxCatchAll" ma:showField="CatchAllData" ma:web="482683a9-e61d-4853-b10b-3f4a908e1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683a9-e61d-4853-b10b-3f4a908e1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ce13e-3376-4417-9525-be60b11a89a8" xsi:nil="true"/>
    <lcf76f155ced4ddcb4097134ff3c332f xmlns="03570766-e33a-4164-8943-6d32a7ac417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374503-5BF4-481D-B338-14E9BC1FD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570766-e33a-4164-8943-6d32a7ac417a"/>
    <ds:schemaRef ds:uri="5cece13e-3376-4417-9525-be60b11a89a8"/>
    <ds:schemaRef ds:uri="482683a9-e61d-4853-b10b-3f4a908e17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FB7EDA-9EAA-4A5E-8E50-90310A888D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3EC132-AE09-49A9-9F73-CA228012CF64}">
  <ds:schemaRefs>
    <ds:schemaRef ds:uri="03570766-e33a-4164-8943-6d32a7ac417a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482683a9-e61d-4853-b10b-3f4a908e17aa"/>
    <ds:schemaRef ds:uri="5cece13e-3376-4417-9525-be60b11a89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</vt:lpstr>
      <vt:lpstr>Sheet2</vt:lpstr>
      <vt:lpstr>Sheet3</vt:lpstr>
    </vt:vector>
  </TitlesOfParts>
  <Manager/>
  <Company>MUN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Ziegler</dc:creator>
  <cp:keywords/>
  <dc:description/>
  <cp:lastModifiedBy>Roebuck, Alan</cp:lastModifiedBy>
  <cp:revision/>
  <dcterms:created xsi:type="dcterms:W3CDTF">2019-11-03T12:45:59Z</dcterms:created>
  <dcterms:modified xsi:type="dcterms:W3CDTF">2023-12-19T21:00:38Z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0x0101006DC853A563ABF64B8421887057055B0F</vt:lpwstr>
  </property>
</Properties>
</file>