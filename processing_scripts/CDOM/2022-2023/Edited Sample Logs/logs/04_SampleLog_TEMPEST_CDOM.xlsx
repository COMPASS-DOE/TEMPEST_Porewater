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nnl-my.sharepoint.com/personal/alan_roebuck_pnnl_gov/Documents/Desktop/EEMs/Processed in Matlab/20230525_TEMPEST_CDOM/"/>
    </mc:Choice>
  </mc:AlternateContent>
  <xr:revisionPtr revIDLastSave="54" documentId="13_ncr:1_{E451D7EF-7F3D-4692-AC04-30368860CF45}" xr6:coauthVersionLast="47" xr6:coauthVersionMax="47" xr10:uidLastSave="{61CCA9F2-CA62-40D1-BF17-7770F196F920}"/>
  <bookViews>
    <workbookView xWindow="28680" yWindow="-120" windowWidth="29040" windowHeight="17640" xr2:uid="{00000000-000D-0000-FFFF-FFFF00000000}"/>
  </bookViews>
  <sheets>
    <sheet name="log" sheetId="1" r:id="rId1"/>
    <sheet name="Sheet2" sheetId="2" r:id="rId2"/>
    <sheet name="Shee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39" i="1" l="1"/>
  <c r="G139" i="1"/>
  <c r="F139" i="1"/>
  <c r="L9" i="1"/>
  <c r="H2" i="1"/>
  <c r="H3" i="1"/>
  <c r="H4" i="1"/>
  <c r="H5" i="1"/>
  <c r="H6" i="1"/>
  <c r="H7" i="1"/>
  <c r="H8" i="1"/>
  <c r="H9" i="1"/>
  <c r="H10" i="1"/>
  <c r="G2" i="1"/>
  <c r="G3" i="1"/>
  <c r="G4" i="1"/>
  <c r="G5" i="1"/>
  <c r="G6" i="1"/>
  <c r="G7" i="1"/>
  <c r="G8" i="1"/>
  <c r="G9" i="1"/>
  <c r="G10" i="1"/>
  <c r="F2" i="1"/>
  <c r="F3" i="1"/>
  <c r="F4" i="1"/>
  <c r="F5" i="1"/>
  <c r="F6" i="1"/>
  <c r="F7" i="1"/>
  <c r="F8" i="1"/>
  <c r="F9" i="1"/>
  <c r="F10" i="1"/>
  <c r="H53" i="1"/>
  <c r="G53" i="1"/>
  <c r="F53" i="1"/>
  <c r="H67" i="1"/>
  <c r="G67" i="1"/>
  <c r="F67" i="1"/>
  <c r="F70" i="1"/>
  <c r="G70" i="1"/>
  <c r="H70" i="1"/>
  <c r="H82" i="1"/>
  <c r="G82" i="1"/>
  <c r="F82" i="1"/>
  <c r="H73" i="1"/>
  <c r="G73" i="1"/>
  <c r="F73" i="1"/>
  <c r="H101" i="1"/>
  <c r="G101" i="1"/>
  <c r="F101" i="1"/>
  <c r="H135" i="1"/>
  <c r="G135" i="1"/>
  <c r="F135" i="1"/>
  <c r="H134" i="1"/>
  <c r="G134" i="1"/>
  <c r="F134" i="1"/>
  <c r="H133" i="1"/>
  <c r="G133" i="1"/>
  <c r="F133" i="1"/>
  <c r="F132" i="1"/>
  <c r="G132" i="1"/>
  <c r="H132" i="1"/>
  <c r="F131" i="1"/>
  <c r="G131" i="1"/>
  <c r="H131" i="1"/>
  <c r="F154" i="1"/>
  <c r="G154" i="1"/>
  <c r="H154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8" i="1"/>
  <c r="H69" i="1"/>
  <c r="H71" i="1"/>
  <c r="H72" i="1"/>
  <c r="H74" i="1"/>
  <c r="H75" i="1"/>
  <c r="H76" i="1"/>
  <c r="H77" i="1"/>
  <c r="H78" i="1"/>
  <c r="H79" i="1"/>
  <c r="H80" i="1"/>
  <c r="H81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6" i="1"/>
  <c r="H137" i="1"/>
  <c r="H138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8" i="1"/>
  <c r="G69" i="1"/>
  <c r="G71" i="1"/>
  <c r="G72" i="1"/>
  <c r="G74" i="1"/>
  <c r="G75" i="1"/>
  <c r="G76" i="1"/>
  <c r="G77" i="1"/>
  <c r="G78" i="1"/>
  <c r="G79" i="1"/>
  <c r="G80" i="1"/>
  <c r="G81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6" i="1"/>
  <c r="G137" i="1"/>
  <c r="G138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8" i="1"/>
  <c r="F69" i="1"/>
  <c r="F71" i="1"/>
  <c r="F72" i="1"/>
  <c r="F74" i="1"/>
  <c r="F75" i="1"/>
  <c r="F76" i="1"/>
  <c r="F77" i="1"/>
  <c r="F78" i="1"/>
  <c r="F79" i="1"/>
  <c r="F80" i="1"/>
  <c r="F81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6" i="1"/>
  <c r="F137" i="1"/>
  <c r="F138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5" i="1"/>
  <c r="F156" i="1"/>
  <c r="F157" i="1"/>
  <c r="F158" i="1"/>
  <c r="F159" i="1"/>
  <c r="F160" i="1"/>
  <c r="F161" i="1"/>
  <c r="F162" i="1"/>
  <c r="F163" i="1"/>
  <c r="F165" i="1"/>
  <c r="F166" i="1"/>
  <c r="F16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tc={5DE629CE-854B-4F6D-973F-00E544659F70}</author>
    <author>tc={69B1F207-831E-448F-BE60-9E3C417D99CA}</author>
    <author>tc={D9E80461-86F7-445B-99A2-E2311F4F00BC}</author>
    <author>tc={4CE7CC10-E5AF-4301-A8AA-8A4E8D1645E4}</author>
  </authors>
  <commentList>
    <comment ref="F1" authorId="0" shapeId="0" xr:uid="{5DE629CE-854B-4F6D-973F-00E544659F70}">
      <text>
        <t>[Threaded comment]
Your version of Excel allows you to read this threaded comment; however, any edits to it will get removed if the file is opened in a newer version of Excel. Learn more: https://go.microsoft.com/fwlink/?linkid=870924
Comment:
    Don't forget the file extension!!!!</t>
      </text>
    </comment>
    <comment ref="G1" authorId="1" shapeId="0" xr:uid="{69B1F207-831E-448F-BE60-9E3C417D99CA}">
      <text>
        <t>[Threaded comment]
Your version of Excel allows you to read this threaded comment; however, any edits to it will get removed if the file is opened in a newer version of Excel. Learn more: https://go.microsoft.com/fwlink/?linkid=870924
Comment:
    Don't forget the file extension!!!!</t>
      </text>
    </comment>
    <comment ref="H1" authorId="2" shapeId="0" xr:uid="{D9E80461-86F7-445B-99A2-E2311F4F00BC}">
      <text>
        <t>[Threaded comment]
Your version of Excel allows you to read this threaded comment; however, any edits to it will get removed if the file is opened in a newer version of Excel. Learn more: https://go.microsoft.com/fwlink/?linkid=870924
Comment:
    Don't forget the file extension!!!!</t>
      </text>
    </comment>
    <comment ref="L1" authorId="3" shapeId="0" xr:uid="{4CE7CC10-E5AF-4301-A8AA-8A4E8D1645E4}">
      <text>
        <t>[Threaded comment]
Your version of Excel allows you to read this threaded comment; however, any edits to it will get removed if the file is opened in a newer version of Excel. Learn more: https://go.microsoft.com/fwlink/?linkid=870924
Comment:
    Decimal format. e.g. 1 part water and 1 part sample equal a dilution factor of 0.5
If no dilution occurred, put 1.</t>
      </text>
    </comment>
  </commentList>
</comments>
</file>

<file path=xl/sharedStrings.xml><?xml version="1.0" encoding="utf-8"?>
<sst xmlns="http://schemas.openxmlformats.org/spreadsheetml/2006/main" count="508" uniqueCount="365">
  <si>
    <t>index</t>
  </si>
  <si>
    <t>Analysis Date</t>
  </si>
  <si>
    <t>Integration Time</t>
  </si>
  <si>
    <t>Absorbance File Name</t>
  </si>
  <si>
    <t>DOC (mg/L)</t>
  </si>
  <si>
    <t>Analytical Replicate No</t>
  </si>
  <si>
    <t>EEM file name</t>
  </si>
  <si>
    <t>EEM Blank</t>
  </si>
  <si>
    <t>Raman 1s Area</t>
  </si>
  <si>
    <t>Absorbance 
Pathlength</t>
  </si>
  <si>
    <t>Dilution Factor (Decimal Format; e.g. 0.5)</t>
  </si>
  <si>
    <t>TFSo661326 6s</t>
  </si>
  <si>
    <t>TSP06078 4s</t>
  </si>
  <si>
    <t>TFP060716 4s</t>
  </si>
  <si>
    <t>TSP0707 2s</t>
  </si>
  <si>
    <t>TFP0707 1s</t>
  </si>
  <si>
    <t>TCP0628 1s</t>
  </si>
  <si>
    <t>TFP0627 1s</t>
  </si>
  <si>
    <t>TSP0627 4s</t>
  </si>
  <si>
    <t>TSP0617 4s</t>
  </si>
  <si>
    <t>TCH60612 4s</t>
  </si>
  <si>
    <t>TFI50707 1s</t>
  </si>
  <si>
    <t>TFF40710 1s</t>
  </si>
  <si>
    <t>TSB40707 2s</t>
  </si>
  <si>
    <t>TSC30707 2s</t>
  </si>
  <si>
    <t>TSE30707 4s</t>
  </si>
  <si>
    <t>TSH60627 4s</t>
  </si>
  <si>
    <t>TCE30628 2s</t>
  </si>
  <si>
    <t>TFF40627 1s</t>
  </si>
  <si>
    <t>TCC30628 2s</t>
  </si>
  <si>
    <t>TSF40627 2s</t>
  </si>
  <si>
    <t>TFH30627 2s</t>
  </si>
  <si>
    <t>TCH30628 1s</t>
  </si>
  <si>
    <t>TSB40627 4s</t>
  </si>
  <si>
    <t>TFE30627 2s</t>
  </si>
  <si>
    <t>TCH60707 1s</t>
  </si>
  <si>
    <t>TFC30710 1s</t>
  </si>
  <si>
    <t>TCH60710 1s</t>
  </si>
  <si>
    <t>TFD50710 1s</t>
  </si>
  <si>
    <t>TCI50710 1s</t>
  </si>
  <si>
    <t>TSF60707 2s</t>
  </si>
  <si>
    <t>TFH60710 1s</t>
  </si>
  <si>
    <t>TSC30627 2s</t>
  </si>
  <si>
    <t>TFC30627 1s</t>
  </si>
  <si>
    <t>TCI50628 1s</t>
  </si>
  <si>
    <t>TSE30627 4s</t>
  </si>
  <si>
    <t>TFD50627 1s</t>
  </si>
  <si>
    <t>TSD50627 4s</t>
  </si>
  <si>
    <t>TFF60627 1s</t>
  </si>
  <si>
    <t>TCH60628 1s</t>
  </si>
  <si>
    <t>TCF60628 1s</t>
  </si>
  <si>
    <t>TSH30627 4s</t>
  </si>
  <si>
    <t>TFB40627 1s</t>
  </si>
  <si>
    <t>TSF60627 4s</t>
  </si>
  <si>
    <t>TCC60628 2s</t>
  </si>
  <si>
    <t>TFI50627 1s</t>
  </si>
  <si>
    <t>TSC30617 4s</t>
  </si>
  <si>
    <t>TSE30617 4s</t>
  </si>
  <si>
    <t>TSH60614 4s</t>
  </si>
  <si>
    <t>TSE30612 4s</t>
  </si>
  <si>
    <t>TFD50614 2s</t>
  </si>
  <si>
    <t>TFC30614 2s</t>
  </si>
  <si>
    <t>TSB40617 4s</t>
  </si>
  <si>
    <t>TSD50617 4s</t>
  </si>
  <si>
    <t>TSE30614 4s</t>
  </si>
  <si>
    <t>TSD50614 4s</t>
  </si>
  <si>
    <t>TSH60612 4s</t>
  </si>
  <si>
    <t>TSC30614 2s</t>
  </si>
  <si>
    <t>TFI50617 1s</t>
  </si>
  <si>
    <t>TFI50614 1s</t>
  </si>
  <si>
    <t>TSB40614 4s</t>
  </si>
  <si>
    <t>TFD50612 1s</t>
  </si>
  <si>
    <t>TFC30608 1s</t>
  </si>
  <si>
    <t>TSH60608 4s</t>
  </si>
  <si>
    <t>TSD50608 4s</t>
  </si>
  <si>
    <t>TSE30608 4s</t>
  </si>
  <si>
    <t>TSC30608 2s</t>
  </si>
  <si>
    <t>TFH60608 1s</t>
  </si>
  <si>
    <t>TFI50608 1s</t>
  </si>
  <si>
    <t>TFD50608 1s</t>
  </si>
  <si>
    <t>TFF40608 1s</t>
  </si>
  <si>
    <t>TSB40608 4s</t>
  </si>
  <si>
    <t>TFC30606 2s</t>
  </si>
  <si>
    <t>TFC3671600 2s</t>
  </si>
  <si>
    <t>TFC367800 2s</t>
  </si>
  <si>
    <t>TFS670611 6s</t>
  </si>
  <si>
    <t>TFS661511 6s</t>
  </si>
  <si>
    <t>TFB466 4s</t>
  </si>
  <si>
    <t>TFB4671600 2s</t>
  </si>
  <si>
    <t>TFH6671600 1s</t>
  </si>
  <si>
    <t>TFH667800 1s</t>
  </si>
  <si>
    <t>TSI5671600 1s</t>
  </si>
  <si>
    <t>TSE30606 4s</t>
  </si>
  <si>
    <t>TFS671300 6s</t>
  </si>
  <si>
    <t>TFS660718 6s</t>
  </si>
  <si>
    <t>TSB4671600 4s</t>
  </si>
  <si>
    <t>TSEs661524 2s</t>
  </si>
  <si>
    <t>TSE3671600 4s</t>
  </si>
  <si>
    <t>TSEs671700 2s</t>
  </si>
  <si>
    <t>TSEs67710 2s</t>
  </si>
  <si>
    <t>TFI5671600 2s</t>
  </si>
  <si>
    <t>TSD5671600 4s</t>
  </si>
  <si>
    <t>TSS671515 2s</t>
  </si>
  <si>
    <t>TSS661301 2s</t>
  </si>
  <si>
    <t>TFD5671600 1s</t>
  </si>
  <si>
    <t>TSD567800 4s</t>
  </si>
  <si>
    <t>TSC3671600 2s</t>
  </si>
  <si>
    <t>TSS67621 2s</t>
  </si>
  <si>
    <t>TFH367800 2s1</t>
  </si>
  <si>
    <t>TSC367800 1s</t>
  </si>
  <si>
    <t>TFH3671600 2s</t>
  </si>
  <si>
    <t>TSEs671346 2s</t>
  </si>
  <si>
    <t>TFI567800 1s</t>
  </si>
  <si>
    <t>TSE367800 4sD</t>
  </si>
  <si>
    <t>TFD567800 1s</t>
  </si>
  <si>
    <t>TSS671255 2s</t>
  </si>
  <si>
    <t>TFF467800 1s</t>
  </si>
  <si>
    <t>TSB467800 4s1</t>
  </si>
  <si>
    <t>TSEs661236 2s</t>
  </si>
  <si>
    <t>TFF4671600 2s</t>
  </si>
  <si>
    <t>TSS661502 2sD</t>
  </si>
  <si>
    <t>TCI5Jun03 2s</t>
  </si>
  <si>
    <t>TFD5Jun03 2s</t>
  </si>
  <si>
    <t>TCC6Jun03 2s</t>
  </si>
  <si>
    <t>TSB4Jun03 4s</t>
  </si>
  <si>
    <t>TFI5Jun03 2s</t>
  </si>
  <si>
    <t>TCH6Jun02 2s</t>
  </si>
  <si>
    <t>TMPSWB4 D2 4s</t>
  </si>
  <si>
    <t>TMPCF6 D4 2s</t>
  </si>
  <si>
    <t>TMPFWH6 D3 2s</t>
  </si>
  <si>
    <t>TMPFWC3 D2 2s</t>
  </si>
  <si>
    <t>TMPCC6 D2 2s</t>
  </si>
  <si>
    <t>TMPSWH6 D3 4s</t>
  </si>
  <si>
    <t>TMPCH6 D2 1s</t>
  </si>
  <si>
    <t>TMPFWF6 D2 1s</t>
  </si>
  <si>
    <t>TMPSApr23 4sD</t>
  </si>
  <si>
    <t>TMPCdilute 1s</t>
  </si>
  <si>
    <t>TMPS02Feb 2sD</t>
  </si>
  <si>
    <t>TMPF02Feb 2sD</t>
  </si>
  <si>
    <t>TMPFDec 2sD</t>
  </si>
  <si>
    <t>TMPSDec 4sD</t>
  </si>
  <si>
    <t>TMPCDec 2sD</t>
  </si>
  <si>
    <t>TMPF26Oct 2sD</t>
  </si>
  <si>
    <t>TMPS26Oct 2sD</t>
  </si>
  <si>
    <t>TMPC26Oct 2sD</t>
  </si>
  <si>
    <t>TMP_FW_SOURCE_20230607_1519</t>
  </si>
  <si>
    <t>TMP_FW_SOURCE_20230606_1326</t>
  </si>
  <si>
    <t>TMP_FW_POOL_20230607_1600_FW11</t>
  </si>
  <si>
    <t>TMP_SW_POOL_20230707</t>
  </si>
  <si>
    <t>TMP_FW_POOL_20230707</t>
  </si>
  <si>
    <t>TMP_C_POOL_20230628</t>
  </si>
  <si>
    <t>TMP_FW_POOL_20230627</t>
  </si>
  <si>
    <t>TMP_SW_POOL_20230627</t>
  </si>
  <si>
    <t>TMP_SW_POOL_20230617</t>
  </si>
  <si>
    <t>TMP_SW_POOL_20230614</t>
  </si>
  <si>
    <t>TMP_C_H6_20230612</t>
  </si>
  <si>
    <t>TMP_FW_I5_20230707</t>
  </si>
  <si>
    <t>TMP_FW_F4_20230710</t>
  </si>
  <si>
    <t>TMP_SW_B4_20230707</t>
  </si>
  <si>
    <t>TMP_SW_C3_20230707</t>
  </si>
  <si>
    <t>TMP_SW_E3_20230707</t>
  </si>
  <si>
    <t>TMP_SW_H6_20230627</t>
  </si>
  <si>
    <t>TMP_SW_C6_20230627</t>
  </si>
  <si>
    <t>TMP_C_E3_20230628</t>
  </si>
  <si>
    <t>TMP_FW_F4_20230627</t>
  </si>
  <si>
    <t>TMP_C_C3_20230628</t>
  </si>
  <si>
    <t>TMP_SW_F4_20230627</t>
  </si>
  <si>
    <t>TMP_FW_H3_20230627</t>
  </si>
  <si>
    <t>TMP_C_H3_20230628</t>
  </si>
  <si>
    <t>TMP_SW_B4_20230627</t>
  </si>
  <si>
    <t>TMP_FW_E3_20230627</t>
  </si>
  <si>
    <t>TMP_C_H6_20230707</t>
  </si>
  <si>
    <t>TMP_FW_C3_20230710</t>
  </si>
  <si>
    <t>TMP_C_H6_20230710</t>
  </si>
  <si>
    <t>TMP_FW_D5_20230710</t>
  </si>
  <si>
    <t>TMP_C_I5_20230710</t>
  </si>
  <si>
    <t>TMP_SW_F6_20230707</t>
  </si>
  <si>
    <t>TMP_FW_H6_20230710</t>
  </si>
  <si>
    <t>TMP_C_D5_20230627</t>
  </si>
  <si>
    <t>TMP_SW_C3_20230627</t>
  </si>
  <si>
    <t>TMP_FW_C3_20230627</t>
  </si>
  <si>
    <t>TMP_C_I5_20230628</t>
  </si>
  <si>
    <t>TMP_SW_E3_20230627</t>
  </si>
  <si>
    <t>TMP_FW_D5_20230627</t>
  </si>
  <si>
    <t>TMP_SW_D5_20230627</t>
  </si>
  <si>
    <t>TMP_FW_F6_20230627</t>
  </si>
  <si>
    <t>TMP_C_H6_20230628</t>
  </si>
  <si>
    <t>TMP_C_F6_20230628</t>
  </si>
  <si>
    <t>TMP_SW_H3_20230627</t>
  </si>
  <si>
    <t>TMP_FW_B4_20230627</t>
  </si>
  <si>
    <t>TMP_SW_F6_20230627</t>
  </si>
  <si>
    <t>TMP_C_C6_20230628</t>
  </si>
  <si>
    <t>TMP_FW_I5_202306627</t>
  </si>
  <si>
    <t>TMP_SW_C3_20230617</t>
  </si>
  <si>
    <t>TMP_SW_E3_20230617</t>
  </si>
  <si>
    <t>TMP_SW_H6_20230614</t>
  </si>
  <si>
    <t>TMP_SW_E3_20230612</t>
  </si>
  <si>
    <t>TMP_FW_D5_20230614</t>
  </si>
  <si>
    <t>TMP_FW_C3_20230614</t>
  </si>
  <si>
    <t>TMP_FW_H6_20230617</t>
  </si>
  <si>
    <t>TMP_SW_B4_20230617</t>
  </si>
  <si>
    <t>TMP_SW_D5_20230617</t>
  </si>
  <si>
    <t>TMP_SW_E3_20230614</t>
  </si>
  <si>
    <t>TMP_SW_D5_20230614</t>
  </si>
  <si>
    <t>TMP_SW_H6_20230612</t>
  </si>
  <si>
    <t>TMP_SW_C3_20230614</t>
  </si>
  <si>
    <t>TMP_FW_I5_20230617</t>
  </si>
  <si>
    <t>TMP_FW_I5_20230614</t>
  </si>
  <si>
    <t>TMP_SW_B4_20230614</t>
  </si>
  <si>
    <t>TMP_FW_D5_20230612</t>
  </si>
  <si>
    <t>TMP_FW_I5_20230612</t>
  </si>
  <si>
    <t>TMP_FW_C3_20230608</t>
  </si>
  <si>
    <t>TMP_SW_H6_20230608</t>
  </si>
  <si>
    <t>TMP_SW_D5_20230608</t>
  </si>
  <si>
    <t>TMP_SW_E3_20230608</t>
  </si>
  <si>
    <t>TMP_SW_C3_20230608</t>
  </si>
  <si>
    <t>TMP_FW_H6_20230608</t>
  </si>
  <si>
    <t>TMP_FW_I5_20230608</t>
  </si>
  <si>
    <t>TMP_FW_D5_20230608</t>
  </si>
  <si>
    <t>TMP_FW_F4_20230608</t>
  </si>
  <si>
    <t>TMP_SW_B4_20230608</t>
  </si>
  <si>
    <t>TMP_FW_C3_20230606</t>
  </si>
  <si>
    <t>TMP_FW_C3_20230607_1600</t>
  </si>
  <si>
    <t>TMP_FW_C3_20230607_0800</t>
  </si>
  <si>
    <t>TMP_FW_SOURCE_20230607_0611</t>
  </si>
  <si>
    <t>TMP_FW_SOURCE_20230606_1511</t>
  </si>
  <si>
    <t>TMP_FW_B4_20230606</t>
  </si>
  <si>
    <t>TMP_FW_B4_20230607_1600</t>
  </si>
  <si>
    <t>TMP_FW_H6_20230607_1600</t>
  </si>
  <si>
    <t>TMP_FW_H6_20230607_0800</t>
  </si>
  <si>
    <t>TMP_SW_I5_20230607_1600</t>
  </si>
  <si>
    <t>TMP_SW_E3_20230606</t>
  </si>
  <si>
    <t>TMP_FW_SOURCE_20230607_1300</t>
  </si>
  <si>
    <t>TMP_FW_SOURCE_20230606_0718</t>
  </si>
  <si>
    <t>TMP_SW_B4_20230607_1600</t>
  </si>
  <si>
    <t>TMP_SW_ESTUARY_20230606_1524</t>
  </si>
  <si>
    <t>TMP_SW_E3_20230607_1600</t>
  </si>
  <si>
    <t>TMP_SW_ESTUARY_20230607_1700</t>
  </si>
  <si>
    <t>TMP_SW_ESTUARY_20230607_0710</t>
  </si>
  <si>
    <t>TMP_FW_I5_20230607_1600</t>
  </si>
  <si>
    <t>TMP_SW_D5_20230607_1600</t>
  </si>
  <si>
    <t>TMP_SW_SOURCE_20230607_1515</t>
  </si>
  <si>
    <t>TMP_SW_SOURCE_20230606_1301</t>
  </si>
  <si>
    <t>TMP_FW_D5_20230607_1600</t>
  </si>
  <si>
    <t>TMP_SW_D5_20230607_0800</t>
  </si>
  <si>
    <t>TMP_SW_C3_20230607_1600</t>
  </si>
  <si>
    <t>TMP_SW_SOURCE_20230607_0621</t>
  </si>
  <si>
    <t>TMP_FW_H3_20230607_0800</t>
  </si>
  <si>
    <t>TMP_SW_C3_20230607_0800</t>
  </si>
  <si>
    <t>TMP_FW_H3_20230607_1600</t>
  </si>
  <si>
    <t>TMP_SW_ESTUARY_20230607_1346</t>
  </si>
  <si>
    <t>TMP_FW_I5_20230607_0800</t>
  </si>
  <si>
    <t>TMP_SW_E3_20230607_0800</t>
  </si>
  <si>
    <t>TMP_FW_D5_20230607_0800</t>
  </si>
  <si>
    <t>TMP_SW_SOURCE_20230607_1255</t>
  </si>
  <si>
    <t>TMP_FW_F4_20230607_0800</t>
  </si>
  <si>
    <t>TMP_SW_B4_20230607_0800</t>
  </si>
  <si>
    <t>TMP_SW_ESTUARY_20230606_1236</t>
  </si>
  <si>
    <t>TMP_FW_F4_20230607_1600</t>
  </si>
  <si>
    <t>TMP_SW_ESTUARY_20230606_0632</t>
  </si>
  <si>
    <t>TMP_FW_I5_20230606</t>
  </si>
  <si>
    <t>TMP_SW_SOURCE_20230606_1502</t>
  </si>
  <si>
    <t>TMP_FW_D5_20230606</t>
  </si>
  <si>
    <t>TMP_C_I5_20230603</t>
  </si>
  <si>
    <t>TMP_FW_D5_20230603</t>
  </si>
  <si>
    <t>TMP_C_C6_20230603</t>
  </si>
  <si>
    <t>TMP_SW_B4_20230603</t>
  </si>
  <si>
    <t>TMP_FW_I5_20230603</t>
  </si>
  <si>
    <t>TMP_C_H6_20230603</t>
  </si>
  <si>
    <t>TMP_FW_H3_20230515</t>
  </si>
  <si>
    <t>TMP_FW_E3_20230515</t>
  </si>
  <si>
    <t>TMP_FW_D5_20230515</t>
  </si>
  <si>
    <t>TMP_SW_B4_20230515</t>
  </si>
  <si>
    <t>TMP_C_F6_20230515</t>
  </si>
  <si>
    <t>TMP_FW_H6_20230515</t>
  </si>
  <si>
    <t>TMP_FW_C3_20230515</t>
  </si>
  <si>
    <t>TMP_C_C6_20230515</t>
  </si>
  <si>
    <t>TMP_SW_H6_20230515</t>
  </si>
  <si>
    <t>TMP_C_H6_20230515</t>
  </si>
  <si>
    <t>TMP_FW_F6_20230515</t>
  </si>
  <si>
    <t>TMP_FW_POOL_20230417</t>
  </si>
  <si>
    <t>TMP_SW_POOL_20230417</t>
  </si>
  <si>
    <t>TMP_C_POOL_20230417</t>
  </si>
  <si>
    <t>TMP_SW_POOL_20230202</t>
  </si>
  <si>
    <t>TMP_C_POOL_20230202</t>
  </si>
  <si>
    <t>TMP_FW_POOL_20230202</t>
  </si>
  <si>
    <t>TMP_FW_POOL_20221128-20221201</t>
  </si>
  <si>
    <t>TMP_SW_POOL_20221128-20221201</t>
  </si>
  <si>
    <t>TMP_C_POOL_20221128-20221201</t>
  </si>
  <si>
    <t>TMP_FW_POOL_20221019-20221024</t>
  </si>
  <si>
    <t>TMP_SW_POOL_20221019</t>
  </si>
  <si>
    <t>TMP_C_POOL_20221019-20221024</t>
  </si>
  <si>
    <t>TFI50612 1s</t>
  </si>
  <si>
    <t>TCD50627 2s</t>
  </si>
  <si>
    <t>TMP_SW_POOL_20230607_0800_SW11</t>
  </si>
  <si>
    <t>2022_10_26</t>
  </si>
  <si>
    <t>2022_12_07</t>
  </si>
  <si>
    <t>2023_02_09</t>
  </si>
  <si>
    <t>2023_04_27</t>
  </si>
  <si>
    <t>TMPSWF6 D4 2s</t>
  </si>
  <si>
    <t>2023_05_26</t>
  </si>
  <si>
    <t>TMP_FW_I5_20230515</t>
  </si>
  <si>
    <t>2023_05_30</t>
  </si>
  <si>
    <t>TMP_FW_F4_20230606</t>
  </si>
  <si>
    <t>TMP_FW_H3_20230606</t>
  </si>
  <si>
    <t>TMP_SW_C3_20230606</t>
  </si>
  <si>
    <t>TMP_SW_D5_20230606</t>
  </si>
  <si>
    <t>TMP_SW_SOURCE_20230606_0709</t>
  </si>
  <si>
    <t>2023_06_27</t>
  </si>
  <si>
    <t>2023_06_29</t>
  </si>
  <si>
    <t>2023_06_28</t>
  </si>
  <si>
    <t>2023_06_30</t>
  </si>
  <si>
    <t>2023_07_06</t>
  </si>
  <si>
    <t>2023_07_07</t>
  </si>
  <si>
    <t>2023_07_10</t>
  </si>
  <si>
    <t>2023_07_11</t>
  </si>
  <si>
    <t>TSF60614 4s</t>
  </si>
  <si>
    <t>TMP_SW_F6_20230614</t>
  </si>
  <si>
    <t>TFH60617 1s</t>
  </si>
  <si>
    <t>2023_07_20</t>
  </si>
  <si>
    <t>2023_07_19</t>
  </si>
  <si>
    <t>2023_07_21</t>
  </si>
  <si>
    <t>2023_07_26</t>
  </si>
  <si>
    <t>2023_07_27</t>
  </si>
  <si>
    <t>2023_09_07</t>
  </si>
  <si>
    <t>TMPAug23 2s</t>
  </si>
  <si>
    <t>TMP03 1s</t>
  </si>
  <si>
    <t>TMP04 2s</t>
  </si>
  <si>
    <t>TMP05 2s</t>
  </si>
  <si>
    <t>TMP06 2s</t>
  </si>
  <si>
    <t>TMP07 2s</t>
  </si>
  <si>
    <t>TMP08 1s</t>
  </si>
  <si>
    <t>TMP09 1s</t>
  </si>
  <si>
    <t>TMP_SW_H6_20230810</t>
  </si>
  <si>
    <t>TMP_C_F4_20230810</t>
  </si>
  <si>
    <t>TMP_SW_E3_20230810</t>
  </si>
  <si>
    <t>TMP_SW_H3_20230810</t>
  </si>
  <si>
    <t>TMP_SW_I5_20230810</t>
  </si>
  <si>
    <t>TMP_SW_C6_20230810</t>
  </si>
  <si>
    <t>TMP_C_H6_20230810</t>
  </si>
  <si>
    <t>TMP_C_D5_20230810</t>
  </si>
  <si>
    <t>TMP_C_B4_20230810</t>
  </si>
  <si>
    <t>Aqualog ID</t>
  </si>
  <si>
    <t>Project Sample ID</t>
  </si>
  <si>
    <t>TFD5 0606 1s</t>
  </si>
  <si>
    <t>TFF4 0606 1s</t>
  </si>
  <si>
    <t>TFH3 0606 2sD</t>
  </si>
  <si>
    <t>TMP02 1s</t>
  </si>
  <si>
    <t>TMPC02Feb 2sD</t>
  </si>
  <si>
    <t>TMPFApr23 1sD</t>
  </si>
  <si>
    <t>TMPFWD5 D1 2s</t>
  </si>
  <si>
    <t>TMPFWE3 D3 2s</t>
  </si>
  <si>
    <t>TMPFWH3 D1 2s</t>
  </si>
  <si>
    <t>TMPFWI5 D1 2s</t>
  </si>
  <si>
    <t>TSC3 0606 1s</t>
  </si>
  <si>
    <t>TSEs60632 2s</t>
  </si>
  <si>
    <t>TSC0627 4s</t>
  </si>
  <si>
    <t>TFI5 0606 1s</t>
  </si>
  <si>
    <t>TSS0606709 4s</t>
  </si>
  <si>
    <t>TSD5 0606 2s</t>
  </si>
  <si>
    <t>TSP06614 2s</t>
  </si>
  <si>
    <t>TFSo671600 6s</t>
  </si>
  <si>
    <t>2023_03_07</t>
  </si>
  <si>
    <t>2023_06_08</t>
  </si>
  <si>
    <t>TMP_SW_F6_20230515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</si>
</sst>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mmmm\ d\,\ yyyy;@"/>
    <numFmt numFmtId="165" formatCode="0.0000"/>
    <numFmt numFmtId="166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1" fontId="1" fillId="0" borderId="1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 wrapText="1"/>
    </xf>
    <xf numFmtId="2" fontId="1" fillId="0" borderId="1" xfId="0" applyNumberFormat="1" applyFont="1" applyBorder="1" applyAlignment="1">
      <alignment horizontal="center" wrapText="1"/>
    </xf>
    <xf numFmtId="0" fontId="1" fillId="0" borderId="1" xfId="0" applyFont="1" applyBorder="1"/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/>
    </xf>
    <xf numFmtId="2" fontId="0" fillId="0" borderId="0" xfId="0" applyNumberFormat="1" applyAlignment="1">
      <alignment horizontal="center"/>
    </xf>
    <xf numFmtId="166" fontId="1" fillId="0" borderId="1" xfId="0" applyNumberFormat="1" applyFont="1" applyBorder="1" applyAlignment="1">
      <alignment horizontal="center"/>
    </xf>
    <xf numFmtId="166" fontId="0" fillId="0" borderId="0" xfId="0" applyNumberFormat="1" applyAlignment="1">
      <alignment horizontal="center"/>
    </xf>
    <xf numFmtId="164" fontId="1" fillId="0" borderId="1" xfId="0" applyNumberFormat="1" applyFont="1" applyBorder="1" applyAlignment="1">
      <alignment horizontal="center" wrapText="1"/>
    </xf>
    <xf numFmtId="1" fontId="1" fillId="0" borderId="1" xfId="0" applyNumberFormat="1" applyFont="1" applyBorder="1" applyAlignment="1">
      <alignment horizontal="center" wrapText="1"/>
    </xf>
    <xf numFmtId="0" fontId="1" fillId="0" borderId="0" xfId="0" applyFont="1" applyBorder="1" applyAlignment="1">
      <alignment horizontal="center"/>
    </xf>
    <xf numFmtId="0" fontId="1" fillId="0" borderId="0" xfId="0" applyFont="1" applyBorder="1"/>
    <xf numFmtId="164" fontId="0" fillId="0" borderId="0" xfId="0" applyNumberFormat="1" applyFont="1" applyBorder="1" applyAlignment="1">
      <alignment horizontal="center"/>
    </xf>
    <xf numFmtId="1" fontId="0" fillId="0" borderId="0" xfId="0" applyNumberFormat="1" applyFont="1" applyBorder="1" applyAlignment="1">
      <alignment horizontal="center" wrapText="1"/>
    </xf>
    <xf numFmtId="1" fontId="0" fillId="0" borderId="0" xfId="0" applyNumberFormat="1" applyFont="1" applyBorder="1" applyAlignment="1">
      <alignment horizontal="center"/>
    </xf>
    <xf numFmtId="2" fontId="0" fillId="0" borderId="0" xfId="0" applyNumberFormat="1" applyFont="1" applyBorder="1" applyAlignment="1">
      <alignment horizontal="center" wrapText="1"/>
    </xf>
    <xf numFmtId="164" fontId="0" fillId="0" borderId="0" xfId="0" applyNumberFormat="1" applyFont="1" applyBorder="1" applyAlignment="1">
      <alignment horizontal="left" wrapText="1"/>
    </xf>
    <xf numFmtId="49" fontId="0" fillId="0" borderId="0" xfId="0" applyNumberFormat="1" applyFont="1" applyBorder="1" applyAlignment="1">
      <alignment horizontal="left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oebuck, Alan" id="{44BEC399-2E8C-4D0E-9AE5-F7096AAA7574}" userId="S::alan.roebuck@pnnl.gov::ab61a6f6-bcd7-4cc8-9a4a-50df41abff36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" dT="2022-06-20T19:15:48.58" personId="{44BEC399-2E8C-4D0E-9AE5-F7096AAA7574}" id="{5DE629CE-854B-4F6D-973F-00E544659F70}">
    <text>Don't forget the file extension!!!!</text>
  </threadedComment>
  <threadedComment ref="G1" dT="2022-06-20T19:17:12.76" personId="{44BEC399-2E8C-4D0E-9AE5-F7096AAA7574}" id="{69B1F207-831E-448F-BE60-9E3C417D99CA}">
    <text>Don't forget the file extension!!!!</text>
  </threadedComment>
  <threadedComment ref="H1" dT="2022-06-20T19:15:53.05" personId="{44BEC399-2E8C-4D0E-9AE5-F7096AAA7574}" id="{D9E80461-86F7-445B-99A2-E2311F4F00BC}">
    <text>Don't forget the file extension!!!!</text>
  </threadedComment>
  <threadedComment ref="L1" dT="2022-06-20T19:22:14.70" personId="{44BEC399-2E8C-4D0E-9AE5-F7096AAA7574}" id="{4CE7CC10-E5AF-4301-A8AA-8A4E8D1645E4}">
    <text>Decimal format. e.g. 1 part water and 1 part sample equal a dilution factor of 0.5
If no dilution occurred, put 1.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6"/>
  <sheetViews>
    <sheetView tabSelected="1" topLeftCell="A128" zoomScale="85" zoomScaleNormal="85" workbookViewId="0">
      <selection activeCell="C159" sqref="C159"/>
    </sheetView>
  </sheetViews>
  <sheetFormatPr defaultColWidth="8.6328125" defaultRowHeight="14.5" x14ac:dyDescent="0.35"/>
  <cols>
    <col min="1" max="1" width="6" style="7" bestFit="1" customWidth="1"/>
    <col min="2" max="2" width="18.453125" style="8" bestFit="1" customWidth="1"/>
    <col min="3" max="3" width="38.6328125" style="8" customWidth="1"/>
    <col min="4" max="4" width="18.1796875" style="9" bestFit="1" customWidth="1"/>
    <col min="5" max="5" width="21" style="7" bestFit="1" customWidth="1"/>
    <col min="6" max="6" width="47.1796875" style="7" bestFit="1" customWidth="1"/>
    <col min="7" max="8" width="47.1796875" style="7" customWidth="1"/>
    <col min="9" max="9" width="10.81640625" style="7" bestFit="1" customWidth="1"/>
    <col min="10" max="10" width="14.81640625" style="15" bestFit="1" customWidth="1"/>
    <col min="11" max="11" width="18.453125" style="7" bestFit="1" customWidth="1"/>
    <col min="12" max="12" width="30" style="13" customWidth="1"/>
    <col min="13" max="13" width="15.453125" style="10" bestFit="1" customWidth="1"/>
  </cols>
  <sheetData>
    <row r="1" spans="1:13" s="6" customFormat="1" ht="29" x14ac:dyDescent="0.35">
      <c r="A1" s="1" t="s">
        <v>0</v>
      </c>
      <c r="B1" s="2" t="s">
        <v>1</v>
      </c>
      <c r="C1" s="16" t="s">
        <v>343</v>
      </c>
      <c r="D1" s="3" t="s">
        <v>342</v>
      </c>
      <c r="E1" s="1" t="s">
        <v>5</v>
      </c>
      <c r="F1" s="4" t="s">
        <v>6</v>
      </c>
      <c r="G1" s="4" t="s">
        <v>7</v>
      </c>
      <c r="H1" s="3" t="s">
        <v>3</v>
      </c>
      <c r="I1" s="17" t="s">
        <v>9</v>
      </c>
      <c r="J1" s="14" t="s">
        <v>2</v>
      </c>
      <c r="K1" s="1" t="s">
        <v>8</v>
      </c>
      <c r="L1" s="5" t="s">
        <v>10</v>
      </c>
      <c r="M1" s="12" t="s">
        <v>4</v>
      </c>
    </row>
    <row r="2" spans="1:13" s="19" customFormat="1" x14ac:dyDescent="0.35">
      <c r="A2" s="22">
        <v>1</v>
      </c>
      <c r="B2" s="20" t="s">
        <v>324</v>
      </c>
      <c r="C2" s="24" t="s">
        <v>333</v>
      </c>
      <c r="D2" s="25" t="s">
        <v>325</v>
      </c>
      <c r="E2" s="22">
        <v>1</v>
      </c>
      <c r="F2" s="7" t="str">
        <f>CONCATENATE(D2," (01) - Waterfall Plot Sample.dat")</f>
        <v>TMPAug23 2s (01) - Waterfall Plot Sample.dat</v>
      </c>
      <c r="G2" s="7" t="str">
        <f>CONCATENATE(D2," (01) - Waterfall Plot Blank.dat")</f>
        <v>TMPAug23 2s (01) - Waterfall Plot Blank.dat</v>
      </c>
      <c r="H2" s="7" t="str">
        <f>CONCATENATE(D2," (01) - Abs Spectra Graphs.dat")</f>
        <v>TMPAug23 2s (01) - Abs Spectra Graphs.dat</v>
      </c>
      <c r="I2" s="21">
        <v>1</v>
      </c>
      <c r="J2" s="22">
        <v>2</v>
      </c>
      <c r="K2" s="22">
        <v>3251</v>
      </c>
      <c r="L2" s="23">
        <v>0.1</v>
      </c>
      <c r="M2" s="18"/>
    </row>
    <row r="3" spans="1:13" s="19" customFormat="1" x14ac:dyDescent="0.35">
      <c r="A3" s="22">
        <v>2</v>
      </c>
      <c r="B3" s="20" t="s">
        <v>324</v>
      </c>
      <c r="C3" s="24" t="s">
        <v>334</v>
      </c>
      <c r="D3" s="25" t="s">
        <v>347</v>
      </c>
      <c r="E3" s="22">
        <v>1</v>
      </c>
      <c r="F3" s="7" t="str">
        <f>CONCATENATE(D3," (01) - Waterfall Plot Sample.dat")</f>
        <v>TMP02 1s (01) - Waterfall Plot Sample.dat</v>
      </c>
      <c r="G3" s="7" t="str">
        <f>CONCATENATE(D3," (01) - Waterfall Plot Blank.dat")</f>
        <v>TMP02 1s (01) - Waterfall Plot Blank.dat</v>
      </c>
      <c r="H3" s="7" t="str">
        <f>CONCATENATE(D3," (01) - Abs Spectra Graphs.dat")</f>
        <v>TMP02 1s (01) - Abs Spectra Graphs.dat</v>
      </c>
      <c r="I3" s="21">
        <v>1</v>
      </c>
      <c r="J3" s="22">
        <v>1</v>
      </c>
      <c r="K3" s="22">
        <v>3251</v>
      </c>
      <c r="L3" s="23">
        <v>0.5</v>
      </c>
      <c r="M3" s="18"/>
    </row>
    <row r="4" spans="1:13" s="19" customFormat="1" x14ac:dyDescent="0.35">
      <c r="A4" s="22">
        <v>3</v>
      </c>
      <c r="B4" s="20" t="s">
        <v>324</v>
      </c>
      <c r="C4" s="24" t="s">
        <v>335</v>
      </c>
      <c r="D4" s="25" t="s">
        <v>326</v>
      </c>
      <c r="E4" s="22">
        <v>1</v>
      </c>
      <c r="F4" s="7" t="str">
        <f>CONCATENATE(D4," (01) - Waterfall Plot Sample.dat")</f>
        <v>TMP03 1s (01) - Waterfall Plot Sample.dat</v>
      </c>
      <c r="G4" s="7" t="str">
        <f>CONCATENATE(D4," (01) - Waterfall Plot Blank.dat")</f>
        <v>TMP03 1s (01) - Waterfall Plot Blank.dat</v>
      </c>
      <c r="H4" s="7" t="str">
        <f>CONCATENATE(D4," (01) - Abs Spectra Graphs.dat")</f>
        <v>TMP03 1s (01) - Abs Spectra Graphs.dat</v>
      </c>
      <c r="I4" s="21">
        <v>1</v>
      </c>
      <c r="J4" s="22">
        <v>1</v>
      </c>
      <c r="K4" s="22">
        <v>3251</v>
      </c>
      <c r="L4" s="23">
        <v>0.2</v>
      </c>
      <c r="M4" s="18"/>
    </row>
    <row r="5" spans="1:13" s="19" customFormat="1" x14ac:dyDescent="0.35">
      <c r="A5" s="22">
        <v>4</v>
      </c>
      <c r="B5" s="20" t="s">
        <v>324</v>
      </c>
      <c r="C5" s="24" t="s">
        <v>336</v>
      </c>
      <c r="D5" s="25" t="s">
        <v>327</v>
      </c>
      <c r="E5" s="22">
        <v>1</v>
      </c>
      <c r="F5" s="7" t="str">
        <f>CONCATENATE(D5," (01) - Waterfall Plot Sample.dat")</f>
        <v>TMP04 2s (01) - Waterfall Plot Sample.dat</v>
      </c>
      <c r="G5" s="7" t="str">
        <f>CONCATENATE(D5," (01) - Waterfall Plot Blank.dat")</f>
        <v>TMP04 2s (01) - Waterfall Plot Blank.dat</v>
      </c>
      <c r="H5" s="7" t="str">
        <f>CONCATENATE(D5," (01) - Abs Spectra Graphs.dat")</f>
        <v>TMP04 2s (01) - Abs Spectra Graphs.dat</v>
      </c>
      <c r="I5" s="21">
        <v>1</v>
      </c>
      <c r="J5" s="22">
        <v>2</v>
      </c>
      <c r="K5" s="22">
        <v>3251</v>
      </c>
      <c r="L5" s="23">
        <v>0.1</v>
      </c>
      <c r="M5" s="18"/>
    </row>
    <row r="6" spans="1:13" s="19" customFormat="1" x14ac:dyDescent="0.35">
      <c r="A6" s="22">
        <v>5</v>
      </c>
      <c r="B6" s="20" t="s">
        <v>324</v>
      </c>
      <c r="C6" s="24" t="s">
        <v>337</v>
      </c>
      <c r="D6" s="25" t="s">
        <v>328</v>
      </c>
      <c r="E6" s="22">
        <v>1</v>
      </c>
      <c r="F6" s="7" t="str">
        <f>CONCATENATE(D6," (01) - Waterfall Plot Sample.dat")</f>
        <v>TMP05 2s (01) - Waterfall Plot Sample.dat</v>
      </c>
      <c r="G6" s="7" t="str">
        <f>CONCATENATE(D6," (01) - Waterfall Plot Blank.dat")</f>
        <v>TMP05 2s (01) - Waterfall Plot Blank.dat</v>
      </c>
      <c r="H6" s="7" t="str">
        <f>CONCATENATE(D6," (01) - Abs Spectra Graphs.dat")</f>
        <v>TMP05 2s (01) - Abs Spectra Graphs.dat</v>
      </c>
      <c r="I6" s="21">
        <v>1</v>
      </c>
      <c r="J6" s="22">
        <v>2</v>
      </c>
      <c r="K6" s="22">
        <v>3251</v>
      </c>
      <c r="L6" s="23">
        <v>0.1</v>
      </c>
      <c r="M6" s="18"/>
    </row>
    <row r="7" spans="1:13" s="19" customFormat="1" x14ac:dyDescent="0.35">
      <c r="A7" s="22">
        <v>6</v>
      </c>
      <c r="B7" s="20" t="s">
        <v>324</v>
      </c>
      <c r="C7" s="24" t="s">
        <v>338</v>
      </c>
      <c r="D7" s="25" t="s">
        <v>329</v>
      </c>
      <c r="E7" s="22">
        <v>1</v>
      </c>
      <c r="F7" s="7" t="str">
        <f>CONCATENATE(D7," (01) - Waterfall Plot Sample.dat")</f>
        <v>TMP06 2s (01) - Waterfall Plot Sample.dat</v>
      </c>
      <c r="G7" s="7" t="str">
        <f>CONCATENATE(D7," (01) - Waterfall Plot Blank.dat")</f>
        <v>TMP06 2s (01) - Waterfall Plot Blank.dat</v>
      </c>
      <c r="H7" s="7" t="str">
        <f>CONCATENATE(D7," (01) - Abs Spectra Graphs.dat")</f>
        <v>TMP06 2s (01) - Abs Spectra Graphs.dat</v>
      </c>
      <c r="I7" s="21">
        <v>1</v>
      </c>
      <c r="J7" s="22">
        <v>2</v>
      </c>
      <c r="K7" s="22">
        <v>3251</v>
      </c>
      <c r="L7" s="23">
        <v>0.1</v>
      </c>
      <c r="M7" s="18"/>
    </row>
    <row r="8" spans="1:13" s="19" customFormat="1" x14ac:dyDescent="0.35">
      <c r="A8" s="22">
        <v>7</v>
      </c>
      <c r="B8" s="20" t="s">
        <v>324</v>
      </c>
      <c r="C8" s="24" t="s">
        <v>339</v>
      </c>
      <c r="D8" s="25" t="s">
        <v>330</v>
      </c>
      <c r="E8" s="22">
        <v>1</v>
      </c>
      <c r="F8" s="7" t="str">
        <f>CONCATENATE(D8," (01) - Waterfall Plot Sample.dat")</f>
        <v>TMP07 2s (01) - Waterfall Plot Sample.dat</v>
      </c>
      <c r="G8" s="7" t="str">
        <f>CONCATENATE(D8," (01) - Waterfall Plot Blank.dat")</f>
        <v>TMP07 2s (01) - Waterfall Plot Blank.dat</v>
      </c>
      <c r="H8" s="7" t="str">
        <f>CONCATENATE(D8," (01) - Abs Spectra Graphs.dat")</f>
        <v>TMP07 2s (01) - Abs Spectra Graphs.dat</v>
      </c>
      <c r="I8" s="21">
        <v>1</v>
      </c>
      <c r="J8" s="22">
        <v>2</v>
      </c>
      <c r="K8" s="22">
        <v>3251</v>
      </c>
      <c r="L8" s="23">
        <v>0.5</v>
      </c>
      <c r="M8" s="18"/>
    </row>
    <row r="9" spans="1:13" s="19" customFormat="1" x14ac:dyDescent="0.35">
      <c r="A9" s="22">
        <v>8</v>
      </c>
      <c r="B9" s="20" t="s">
        <v>324</v>
      </c>
      <c r="C9" s="24" t="s">
        <v>340</v>
      </c>
      <c r="D9" s="25" t="s">
        <v>331</v>
      </c>
      <c r="E9" s="22">
        <v>1</v>
      </c>
      <c r="F9" s="7" t="str">
        <f>CONCATENATE(D9," (01) - Waterfall Plot Sample.dat")</f>
        <v>TMP08 1s (01) - Waterfall Plot Sample.dat</v>
      </c>
      <c r="G9" s="7" t="str">
        <f>CONCATENATE(D9," (01) - Waterfall Plot Blank.dat")</f>
        <v>TMP08 1s (01) - Waterfall Plot Blank.dat</v>
      </c>
      <c r="H9" s="7" t="str">
        <f>CONCATENATE(D9," (01) - Abs Spectra Graphs.dat")</f>
        <v>TMP08 1s (01) - Abs Spectra Graphs.dat</v>
      </c>
      <c r="I9" s="21">
        <v>1</v>
      </c>
      <c r="J9" s="22">
        <v>1</v>
      </c>
      <c r="K9" s="22">
        <v>3251</v>
      </c>
      <c r="L9" s="23">
        <f>1/2.5</f>
        <v>0.4</v>
      </c>
      <c r="M9" s="18"/>
    </row>
    <row r="10" spans="1:13" s="19" customFormat="1" x14ac:dyDescent="0.35">
      <c r="A10" s="22">
        <v>9</v>
      </c>
      <c r="B10" s="20" t="s">
        <v>324</v>
      </c>
      <c r="C10" s="24" t="s">
        <v>341</v>
      </c>
      <c r="D10" s="25" t="s">
        <v>332</v>
      </c>
      <c r="E10" s="22">
        <v>1</v>
      </c>
      <c r="F10" s="7" t="str">
        <f>CONCATENATE(D10," (01) - Waterfall Plot Sample.dat")</f>
        <v>TMP09 1s (01) - Waterfall Plot Sample.dat</v>
      </c>
      <c r="G10" s="7" t="str">
        <f>CONCATENATE(D10," (01) - Waterfall Plot Blank.dat")</f>
        <v>TMP09 1s (01) - Waterfall Plot Blank.dat</v>
      </c>
      <c r="H10" s="7" t="str">
        <f>CONCATENATE(D10," (01) - Abs Spectra Graphs.dat")</f>
        <v>TMP09 1s (01) - Abs Spectra Graphs.dat</v>
      </c>
      <c r="I10" s="21">
        <v>1</v>
      </c>
      <c r="J10" s="22">
        <v>1</v>
      </c>
      <c r="K10" s="22">
        <v>3251</v>
      </c>
      <c r="L10" s="23">
        <v>0.5</v>
      </c>
      <c r="M10" s="18"/>
    </row>
    <row r="11" spans="1:13" x14ac:dyDescent="0.35">
      <c r="A11" s="22">
        <v>10</v>
      </c>
      <c r="B11" s="8" t="s">
        <v>323</v>
      </c>
      <c r="C11" t="s">
        <v>145</v>
      </c>
      <c r="D11" t="s">
        <v>361</v>
      </c>
      <c r="E11" s="7">
        <v>0.5</v>
      </c>
      <c r="F11" s="7" t="str">
        <f>CONCATENATE(D11," (01) - Waterfall Plot Sample.dat")</f>
        <v>TFSo671600 6s (01) - Waterfall Plot Sample.dat</v>
      </c>
      <c r="G11" s="7" t="str">
        <f>CONCATENATE(D11," (01) - Waterfall Plot Blank.dat")</f>
        <v>TFSo671600 6s (01) - Waterfall Plot Blank.dat</v>
      </c>
      <c r="H11" s="7" t="str">
        <f>CONCATENATE(D11," (01) - Abs Spectra Graphs.dat")</f>
        <v>TFSo671600 6s (01) - Abs Spectra Graphs.dat</v>
      </c>
      <c r="I11" s="7">
        <v>1</v>
      </c>
      <c r="J11" s="10">
        <v>6</v>
      </c>
      <c r="K11" s="7">
        <v>3276</v>
      </c>
      <c r="L11" s="13">
        <v>1</v>
      </c>
      <c r="M11" s="11"/>
    </row>
    <row r="12" spans="1:13" x14ac:dyDescent="0.35">
      <c r="A12" s="22">
        <v>11</v>
      </c>
      <c r="B12" s="8" t="s">
        <v>323</v>
      </c>
      <c r="C12" t="s">
        <v>146</v>
      </c>
      <c r="D12" t="s">
        <v>11</v>
      </c>
      <c r="E12" s="7">
        <v>0.5</v>
      </c>
      <c r="F12" s="7" t="str">
        <f>CONCATENATE(D12," (01) - Waterfall Plot Sample.dat")</f>
        <v>TFSo661326 6s (01) - Waterfall Plot Sample.dat</v>
      </c>
      <c r="G12" s="7" t="str">
        <f>CONCATENATE(D12," (01) - Waterfall Plot Blank.dat")</f>
        <v>TFSo661326 6s (01) - Waterfall Plot Blank.dat</v>
      </c>
      <c r="H12" s="7" t="str">
        <f>CONCATENATE(D12," (01) - Abs Spectra Graphs.dat")</f>
        <v>TFSo661326 6s (01) - Abs Spectra Graphs.dat</v>
      </c>
      <c r="I12" s="7">
        <v>1</v>
      </c>
      <c r="J12" s="10">
        <v>6</v>
      </c>
      <c r="K12" s="7">
        <v>3276</v>
      </c>
      <c r="L12" s="13">
        <v>1</v>
      </c>
      <c r="M12" s="11"/>
    </row>
    <row r="13" spans="1:13" x14ac:dyDescent="0.35">
      <c r="A13" s="22">
        <v>12</v>
      </c>
      <c r="B13" s="8" t="s">
        <v>323</v>
      </c>
      <c r="C13" t="s">
        <v>294</v>
      </c>
      <c r="D13" t="s">
        <v>12</v>
      </c>
      <c r="E13" s="7">
        <v>0.5</v>
      </c>
      <c r="F13" s="7" t="str">
        <f>CONCATENATE(D13," (01) - Waterfall Plot Sample.dat")</f>
        <v>TSP06078 4s (01) - Waterfall Plot Sample.dat</v>
      </c>
      <c r="G13" s="7" t="str">
        <f>CONCATENATE(D13," (01) - Waterfall Plot Blank.dat")</f>
        <v>TSP06078 4s (01) - Waterfall Plot Blank.dat</v>
      </c>
      <c r="H13" s="7" t="str">
        <f>CONCATENATE(D13," (01) - Abs Spectra Graphs.dat")</f>
        <v>TSP06078 4s (01) - Abs Spectra Graphs.dat</v>
      </c>
      <c r="I13" s="7">
        <v>1</v>
      </c>
      <c r="J13" s="10">
        <v>4</v>
      </c>
      <c r="K13" s="7">
        <v>3276</v>
      </c>
      <c r="L13" s="13">
        <v>0.26666666666666666</v>
      </c>
      <c r="M13" s="11"/>
    </row>
    <row r="14" spans="1:13" x14ac:dyDescent="0.35">
      <c r="A14" s="22">
        <v>13</v>
      </c>
      <c r="B14" s="8" t="s">
        <v>323</v>
      </c>
      <c r="C14" t="s">
        <v>147</v>
      </c>
      <c r="D14" t="s">
        <v>13</v>
      </c>
      <c r="E14" s="7">
        <v>0.5</v>
      </c>
      <c r="F14" s="7" t="str">
        <f>CONCATENATE(D14," (01) - Waterfall Plot Sample.dat")</f>
        <v>TFP060716 4s (01) - Waterfall Plot Sample.dat</v>
      </c>
      <c r="G14" s="7" t="str">
        <f>CONCATENATE(D14," (01) - Waterfall Plot Blank.dat")</f>
        <v>TFP060716 4s (01) - Waterfall Plot Blank.dat</v>
      </c>
      <c r="H14" s="7" t="str">
        <f>CONCATENATE(D14," (01) - Abs Spectra Graphs.dat")</f>
        <v>TFP060716 4s (01) - Abs Spectra Graphs.dat</v>
      </c>
      <c r="I14" s="7">
        <v>1</v>
      </c>
      <c r="J14" s="10">
        <v>4</v>
      </c>
      <c r="K14" s="7">
        <v>3276</v>
      </c>
      <c r="L14" s="13">
        <v>0.3666666666666667</v>
      </c>
      <c r="M14" s="11"/>
    </row>
    <row r="15" spans="1:13" x14ac:dyDescent="0.35">
      <c r="A15" s="22">
        <v>14</v>
      </c>
      <c r="B15" s="8" t="s">
        <v>323</v>
      </c>
      <c r="C15" t="s">
        <v>148</v>
      </c>
      <c r="D15" t="s">
        <v>14</v>
      </c>
      <c r="E15" s="7">
        <v>0.5</v>
      </c>
      <c r="F15" s="7" t="str">
        <f>CONCATENATE(D15," (01) - Waterfall Plot Sample.dat")</f>
        <v>TSP0707 2s (01) - Waterfall Plot Sample.dat</v>
      </c>
      <c r="G15" s="7" t="str">
        <f>CONCATENATE(D15," (01) - Waterfall Plot Blank.dat")</f>
        <v>TSP0707 2s (01) - Waterfall Plot Blank.dat</v>
      </c>
      <c r="H15" s="7" t="str">
        <f>CONCATENATE(D15," (01) - Abs Spectra Graphs.dat")</f>
        <v>TSP0707 2s (01) - Abs Spectra Graphs.dat</v>
      </c>
      <c r="I15" s="7">
        <v>1</v>
      </c>
      <c r="J15" s="10">
        <v>2</v>
      </c>
      <c r="K15" s="7">
        <v>3276</v>
      </c>
      <c r="L15" s="13">
        <v>0.66666666666666663</v>
      </c>
      <c r="M15" s="11"/>
    </row>
    <row r="16" spans="1:13" x14ac:dyDescent="0.35">
      <c r="A16" s="22">
        <v>15</v>
      </c>
      <c r="B16" s="8" t="s">
        <v>323</v>
      </c>
      <c r="C16" t="s">
        <v>149</v>
      </c>
      <c r="D16" t="s">
        <v>15</v>
      </c>
      <c r="E16" s="7">
        <v>0.5</v>
      </c>
      <c r="F16" s="7" t="str">
        <f>CONCATENATE(D16," (01) - Waterfall Plot Sample.dat")</f>
        <v>TFP0707 1s (01) - Waterfall Plot Sample.dat</v>
      </c>
      <c r="G16" s="7" t="str">
        <f>CONCATENATE(D16," (01) - Waterfall Plot Blank.dat")</f>
        <v>TFP0707 1s (01) - Waterfall Plot Blank.dat</v>
      </c>
      <c r="H16" s="7" t="str">
        <f>CONCATENATE(D16," (01) - Abs Spectra Graphs.dat")</f>
        <v>TFP0707 1s (01) - Abs Spectra Graphs.dat</v>
      </c>
      <c r="I16" s="7">
        <v>1</v>
      </c>
      <c r="J16" s="10">
        <v>1</v>
      </c>
      <c r="K16" s="7">
        <v>3276</v>
      </c>
      <c r="L16" s="13">
        <v>0.66666666666666663</v>
      </c>
      <c r="M16" s="11"/>
    </row>
    <row r="17" spans="1:13" x14ac:dyDescent="0.35">
      <c r="A17" s="22">
        <v>16</v>
      </c>
      <c r="B17" s="8" t="s">
        <v>323</v>
      </c>
      <c r="C17" t="s">
        <v>150</v>
      </c>
      <c r="D17" t="s">
        <v>16</v>
      </c>
      <c r="E17" s="7">
        <v>0.5</v>
      </c>
      <c r="F17" s="7" t="str">
        <f>CONCATENATE(D17," (01) - Waterfall Plot Sample.dat")</f>
        <v>TCP0628 1s (01) - Waterfall Plot Sample.dat</v>
      </c>
      <c r="G17" s="7" t="str">
        <f>CONCATENATE(D17," (01) - Waterfall Plot Blank.dat")</f>
        <v>TCP0628 1s (01) - Waterfall Plot Blank.dat</v>
      </c>
      <c r="H17" s="7" t="str">
        <f>CONCATENATE(D17," (01) - Abs Spectra Graphs.dat")</f>
        <v>TCP0628 1s (01) - Abs Spectra Graphs.dat</v>
      </c>
      <c r="I17" s="7">
        <v>1</v>
      </c>
      <c r="J17" s="10">
        <v>1</v>
      </c>
      <c r="K17" s="7">
        <v>3276</v>
      </c>
      <c r="L17" s="13">
        <v>0.5</v>
      </c>
      <c r="M17" s="11"/>
    </row>
    <row r="18" spans="1:13" x14ac:dyDescent="0.35">
      <c r="A18" s="22">
        <v>17</v>
      </c>
      <c r="B18" s="8" t="s">
        <v>323</v>
      </c>
      <c r="C18" t="s">
        <v>151</v>
      </c>
      <c r="D18" t="s">
        <v>17</v>
      </c>
      <c r="E18" s="7">
        <v>0.5</v>
      </c>
      <c r="F18" s="7" t="str">
        <f>CONCATENATE(D18," (01) - Waterfall Plot Sample.dat")</f>
        <v>TFP0627 1s (01) - Waterfall Plot Sample.dat</v>
      </c>
      <c r="G18" s="7" t="str">
        <f>CONCATENATE(D18," (01) - Waterfall Plot Blank.dat")</f>
        <v>TFP0627 1s (01) - Waterfall Plot Blank.dat</v>
      </c>
      <c r="H18" s="7" t="str">
        <f>CONCATENATE(D18," (01) - Abs Spectra Graphs.dat")</f>
        <v>TFP0627 1s (01) - Abs Spectra Graphs.dat</v>
      </c>
      <c r="I18" s="7">
        <v>1</v>
      </c>
      <c r="J18" s="10">
        <v>1</v>
      </c>
      <c r="K18" s="7">
        <v>3276</v>
      </c>
      <c r="L18" s="13">
        <v>0.66666666666666663</v>
      </c>
      <c r="M18" s="11"/>
    </row>
    <row r="19" spans="1:13" x14ac:dyDescent="0.35">
      <c r="A19" s="22">
        <v>18</v>
      </c>
      <c r="B19" s="8" t="s">
        <v>323</v>
      </c>
      <c r="C19" t="s">
        <v>152</v>
      </c>
      <c r="D19" t="s">
        <v>18</v>
      </c>
      <c r="E19" s="7">
        <v>0.5</v>
      </c>
      <c r="F19" s="7" t="str">
        <f>CONCATENATE(D19," (01) - Waterfall Plot Sample.dat")</f>
        <v>TSP0627 4s (01) - Waterfall Plot Sample.dat</v>
      </c>
      <c r="G19" s="7" t="str">
        <f>CONCATENATE(D19," (01) - Waterfall Plot Blank.dat")</f>
        <v>TSP0627 4s (01) - Waterfall Plot Blank.dat</v>
      </c>
      <c r="H19" s="7" t="str">
        <f>CONCATENATE(D19," (01) - Abs Spectra Graphs.dat")</f>
        <v>TSP0627 4s (01) - Abs Spectra Graphs.dat</v>
      </c>
      <c r="I19" s="7">
        <v>1</v>
      </c>
      <c r="J19" s="10">
        <v>4</v>
      </c>
      <c r="K19" s="7">
        <v>3276</v>
      </c>
      <c r="L19" s="13">
        <v>0.66666666666666663</v>
      </c>
      <c r="M19" s="11"/>
    </row>
    <row r="20" spans="1:13" x14ac:dyDescent="0.35">
      <c r="A20" s="22">
        <v>19</v>
      </c>
      <c r="B20" s="8" t="s">
        <v>323</v>
      </c>
      <c r="C20" t="s">
        <v>153</v>
      </c>
      <c r="D20" t="s">
        <v>19</v>
      </c>
      <c r="E20" s="7">
        <v>0.5</v>
      </c>
      <c r="F20" s="7" t="str">
        <f>CONCATENATE(D20," (01) - Waterfall Plot Sample.dat")</f>
        <v>TSP0617 4s (01) - Waterfall Plot Sample.dat</v>
      </c>
      <c r="G20" s="7" t="str">
        <f>CONCATENATE(D20," (01) - Waterfall Plot Blank.dat")</f>
        <v>TSP0617 4s (01) - Waterfall Plot Blank.dat</v>
      </c>
      <c r="H20" s="7" t="str">
        <f>CONCATENATE(D20," (01) - Abs Spectra Graphs.dat")</f>
        <v>TSP0617 4s (01) - Abs Spectra Graphs.dat</v>
      </c>
      <c r="I20" s="7">
        <v>1</v>
      </c>
      <c r="J20" s="10">
        <v>4</v>
      </c>
      <c r="K20" s="7">
        <v>3276</v>
      </c>
      <c r="L20" s="13">
        <v>0.66666666666666663</v>
      </c>
      <c r="M20" s="11"/>
    </row>
    <row r="21" spans="1:13" x14ac:dyDescent="0.35">
      <c r="A21" s="22">
        <v>20</v>
      </c>
      <c r="B21" s="8" t="s">
        <v>323</v>
      </c>
      <c r="C21" t="s">
        <v>154</v>
      </c>
      <c r="D21" t="s">
        <v>360</v>
      </c>
      <c r="E21" s="7">
        <v>0.5</v>
      </c>
      <c r="F21" s="7" t="str">
        <f>CONCATENATE(D21," (01) - Waterfall Plot Sample.dat")</f>
        <v>TSP06614 2s (01) - Waterfall Plot Sample.dat</v>
      </c>
      <c r="G21" s="7" t="str">
        <f>CONCATENATE(D21," (01) - Waterfall Plot Blank.dat")</f>
        <v>TSP06614 2s (01) - Waterfall Plot Blank.dat</v>
      </c>
      <c r="H21" s="7" t="str">
        <f>CONCATENATE(D21," (01) - Abs Spectra Graphs.dat")</f>
        <v>TSP06614 2s (01) - Abs Spectra Graphs.dat</v>
      </c>
      <c r="I21" s="7">
        <v>1</v>
      </c>
      <c r="J21" s="10">
        <v>2</v>
      </c>
      <c r="K21" s="7">
        <v>3276</v>
      </c>
      <c r="L21" s="13">
        <v>0.66666666666666663</v>
      </c>
      <c r="M21" s="11"/>
    </row>
    <row r="22" spans="1:13" x14ac:dyDescent="0.35">
      <c r="A22" s="22">
        <v>21</v>
      </c>
      <c r="B22" s="8" t="s">
        <v>322</v>
      </c>
      <c r="C22" t="s">
        <v>155</v>
      </c>
      <c r="D22" t="s">
        <v>20</v>
      </c>
      <c r="E22" s="7">
        <v>0.5</v>
      </c>
      <c r="F22" s="7" t="str">
        <f>CONCATENATE(D22," (01) - Waterfall Plot Sample.dat")</f>
        <v>TCH60612 4s (01) - Waterfall Plot Sample.dat</v>
      </c>
      <c r="G22" s="7" t="str">
        <f>CONCATENATE(D22," (01) - Waterfall Plot Blank.dat")</f>
        <v>TCH60612 4s (01) - Waterfall Plot Blank.dat</v>
      </c>
      <c r="H22" s="7" t="str">
        <f>CONCATENATE(D22," (01) - Abs Spectra Graphs.dat")</f>
        <v>TCH60612 4s (01) - Abs Spectra Graphs.dat</v>
      </c>
      <c r="I22" s="7">
        <v>1</v>
      </c>
      <c r="J22" s="10">
        <v>4</v>
      </c>
      <c r="K22" s="7">
        <v>3327</v>
      </c>
      <c r="L22" s="13">
        <v>0.15</v>
      </c>
      <c r="M22" s="11"/>
    </row>
    <row r="23" spans="1:13" x14ac:dyDescent="0.35">
      <c r="A23" s="22">
        <v>22</v>
      </c>
      <c r="B23" s="8" t="s">
        <v>322</v>
      </c>
      <c r="C23" t="s">
        <v>156</v>
      </c>
      <c r="D23" t="s">
        <v>21</v>
      </c>
      <c r="E23" s="7">
        <v>0.5</v>
      </c>
      <c r="F23" s="7" t="str">
        <f>CONCATENATE(D23," (01) - Waterfall Plot Sample.dat")</f>
        <v>TFI50707 1s (01) - Waterfall Plot Sample.dat</v>
      </c>
      <c r="G23" s="7" t="str">
        <f>CONCATENATE(D23," (01) - Waterfall Plot Blank.dat")</f>
        <v>TFI50707 1s (01) - Waterfall Plot Blank.dat</v>
      </c>
      <c r="H23" s="7" t="str">
        <f>CONCATENATE(D23," (01) - Abs Spectra Graphs.dat")</f>
        <v>TFI50707 1s (01) - Abs Spectra Graphs.dat</v>
      </c>
      <c r="I23" s="7">
        <v>1</v>
      </c>
      <c r="J23" s="10">
        <v>1</v>
      </c>
      <c r="K23" s="7">
        <v>3327</v>
      </c>
      <c r="L23" s="13">
        <v>0.5</v>
      </c>
      <c r="M23" s="11"/>
    </row>
    <row r="24" spans="1:13" x14ac:dyDescent="0.35">
      <c r="A24" s="22">
        <v>23</v>
      </c>
      <c r="B24" s="8" t="s">
        <v>322</v>
      </c>
      <c r="C24" t="s">
        <v>157</v>
      </c>
      <c r="D24" t="s">
        <v>22</v>
      </c>
      <c r="E24" s="7">
        <v>0.5</v>
      </c>
      <c r="F24" s="7" t="str">
        <f>CONCATENATE(D24," (01) - Waterfall Plot Sample.dat")</f>
        <v>TFF40710 1s (01) - Waterfall Plot Sample.dat</v>
      </c>
      <c r="G24" s="7" t="str">
        <f>CONCATENATE(D24," (01) - Waterfall Plot Blank.dat")</f>
        <v>TFF40710 1s (01) - Waterfall Plot Blank.dat</v>
      </c>
      <c r="H24" s="7" t="str">
        <f>CONCATENATE(D24," (01) - Abs Spectra Graphs.dat")</f>
        <v>TFF40710 1s (01) - Abs Spectra Graphs.dat</v>
      </c>
      <c r="I24" s="7">
        <v>1</v>
      </c>
      <c r="J24" s="10">
        <v>1</v>
      </c>
      <c r="K24" s="7">
        <v>3327</v>
      </c>
      <c r="L24" s="13">
        <v>0.66666666666666663</v>
      </c>
      <c r="M24" s="11"/>
    </row>
    <row r="25" spans="1:13" x14ac:dyDescent="0.35">
      <c r="A25" s="22">
        <v>24</v>
      </c>
      <c r="B25" s="8" t="s">
        <v>322</v>
      </c>
      <c r="C25" t="s">
        <v>158</v>
      </c>
      <c r="D25" t="s">
        <v>23</v>
      </c>
      <c r="E25" s="7">
        <v>0.5</v>
      </c>
      <c r="F25" s="7" t="str">
        <f>CONCATENATE(D25," (01) - Waterfall Plot Sample.dat")</f>
        <v>TSB40707 2s (01) - Waterfall Plot Sample.dat</v>
      </c>
      <c r="G25" s="7" t="str">
        <f>CONCATENATE(D25," (01) - Waterfall Plot Blank.dat")</f>
        <v>TSB40707 2s (01) - Waterfall Plot Blank.dat</v>
      </c>
      <c r="H25" s="7" t="str">
        <f>CONCATENATE(D25," (01) - Abs Spectra Graphs.dat")</f>
        <v>TSB40707 2s (01) - Abs Spectra Graphs.dat</v>
      </c>
      <c r="I25" s="7">
        <v>1</v>
      </c>
      <c r="J25" s="10">
        <v>2</v>
      </c>
      <c r="K25" s="7">
        <v>3327</v>
      </c>
      <c r="L25" s="13">
        <v>0.66666666666666663</v>
      </c>
      <c r="M25" s="11"/>
    </row>
    <row r="26" spans="1:13" x14ac:dyDescent="0.35">
      <c r="A26" s="22">
        <v>25</v>
      </c>
      <c r="B26" s="8" t="s">
        <v>322</v>
      </c>
      <c r="C26" t="s">
        <v>159</v>
      </c>
      <c r="D26" t="s">
        <v>24</v>
      </c>
      <c r="E26" s="7">
        <v>0.5</v>
      </c>
      <c r="F26" s="7" t="str">
        <f>CONCATENATE(D26," (01) - Waterfall Plot Sample.dat")</f>
        <v>TSC30707 2s (01) - Waterfall Plot Sample.dat</v>
      </c>
      <c r="G26" s="7" t="str">
        <f>CONCATENATE(D26," (01) - Waterfall Plot Blank.dat")</f>
        <v>TSC30707 2s (01) - Waterfall Plot Blank.dat</v>
      </c>
      <c r="H26" s="7" t="str">
        <f>CONCATENATE(D26," (01) - Abs Spectra Graphs.dat")</f>
        <v>TSC30707 2s (01) - Abs Spectra Graphs.dat</v>
      </c>
      <c r="I26" s="7">
        <v>1</v>
      </c>
      <c r="J26" s="10">
        <v>2</v>
      </c>
      <c r="K26" s="7">
        <v>3327</v>
      </c>
      <c r="L26" s="13">
        <v>0.66666666666666663</v>
      </c>
      <c r="M26" s="11"/>
    </row>
    <row r="27" spans="1:13" x14ac:dyDescent="0.35">
      <c r="A27" s="22">
        <v>26</v>
      </c>
      <c r="B27" s="8" t="s">
        <v>322</v>
      </c>
      <c r="C27" t="s">
        <v>160</v>
      </c>
      <c r="D27" t="s">
        <v>25</v>
      </c>
      <c r="E27" s="7">
        <v>0.5</v>
      </c>
      <c r="F27" s="7" t="str">
        <f>CONCATENATE(D27," (01) - Waterfall Plot Sample.dat")</f>
        <v>TSE30707 4s (01) - Waterfall Plot Sample.dat</v>
      </c>
      <c r="G27" s="7" t="str">
        <f>CONCATENATE(D27," (01) - Waterfall Plot Blank.dat")</f>
        <v>TSE30707 4s (01) - Waterfall Plot Blank.dat</v>
      </c>
      <c r="H27" s="7" t="str">
        <f>CONCATENATE(D27," (01) - Abs Spectra Graphs.dat")</f>
        <v>TSE30707 4s (01) - Abs Spectra Graphs.dat</v>
      </c>
      <c r="I27" s="7">
        <v>1</v>
      </c>
      <c r="J27" s="10">
        <v>4</v>
      </c>
      <c r="K27" s="7">
        <v>3327</v>
      </c>
      <c r="L27" s="13">
        <v>0.66666666666666663</v>
      </c>
      <c r="M27" s="11"/>
    </row>
    <row r="28" spans="1:13" x14ac:dyDescent="0.35">
      <c r="A28" s="22">
        <v>27</v>
      </c>
      <c r="B28" s="8" t="s">
        <v>322</v>
      </c>
      <c r="C28" t="s">
        <v>161</v>
      </c>
      <c r="D28" t="s">
        <v>26</v>
      </c>
      <c r="E28" s="7">
        <v>0.5</v>
      </c>
      <c r="F28" s="7" t="str">
        <f>CONCATENATE(D28," (01) - Waterfall Plot Sample.dat")</f>
        <v>TSH60627 4s (01) - Waterfall Plot Sample.dat</v>
      </c>
      <c r="G28" s="7" t="str">
        <f>CONCATENATE(D28," (01) - Waterfall Plot Blank.dat")</f>
        <v>TSH60627 4s (01) - Waterfall Plot Blank.dat</v>
      </c>
      <c r="H28" s="7" t="str">
        <f>CONCATENATE(D28," (01) - Abs Spectra Graphs.dat")</f>
        <v>TSH60627 4s (01) - Abs Spectra Graphs.dat</v>
      </c>
      <c r="I28" s="7">
        <v>1</v>
      </c>
      <c r="J28" s="10">
        <v>4</v>
      </c>
      <c r="K28" s="7">
        <v>3327</v>
      </c>
      <c r="L28" s="13">
        <v>0.66666666666666663</v>
      </c>
      <c r="M28" s="11"/>
    </row>
    <row r="29" spans="1:13" x14ac:dyDescent="0.35">
      <c r="A29" s="22">
        <v>28</v>
      </c>
      <c r="B29" s="8" t="s">
        <v>322</v>
      </c>
      <c r="C29" t="s">
        <v>162</v>
      </c>
      <c r="D29" t="s">
        <v>356</v>
      </c>
      <c r="E29" s="7">
        <v>0.5</v>
      </c>
      <c r="F29" s="7" t="str">
        <f>CONCATENATE(D29," (01) - Waterfall Plot Sample.dat")</f>
        <v>TSC0627 4s (01) - Waterfall Plot Sample.dat</v>
      </c>
      <c r="G29" s="7" t="str">
        <f>CONCATENATE(D29," (01) - Waterfall Plot Blank.dat")</f>
        <v>TSC0627 4s (01) - Waterfall Plot Blank.dat</v>
      </c>
      <c r="H29" s="7" t="str">
        <f>CONCATENATE(D29," (01) - Abs Spectra Graphs.dat")</f>
        <v>TSC0627 4s (01) - Abs Spectra Graphs.dat</v>
      </c>
      <c r="I29" s="7">
        <v>1</v>
      </c>
      <c r="J29" s="10">
        <v>4</v>
      </c>
      <c r="K29" s="7">
        <v>3327</v>
      </c>
      <c r="L29" s="13">
        <v>0.66666666666666663</v>
      </c>
      <c r="M29" s="11"/>
    </row>
    <row r="30" spans="1:13" x14ac:dyDescent="0.35">
      <c r="A30" s="22">
        <v>29</v>
      </c>
      <c r="B30" s="8" t="s">
        <v>322</v>
      </c>
      <c r="C30" t="s">
        <v>163</v>
      </c>
      <c r="D30" t="s">
        <v>27</v>
      </c>
      <c r="E30" s="7">
        <v>0.5</v>
      </c>
      <c r="F30" s="7" t="str">
        <f>CONCATENATE(D30," (01) - Waterfall Plot Sample.dat")</f>
        <v>TCE30628 2s (01) - Waterfall Plot Sample.dat</v>
      </c>
      <c r="G30" s="7" t="str">
        <f>CONCATENATE(D30," (01) - Waterfall Plot Blank.dat")</f>
        <v>TCE30628 2s (01) - Waterfall Plot Blank.dat</v>
      </c>
      <c r="H30" s="7" t="str">
        <f>CONCATENATE(D30," (01) - Abs Spectra Graphs.dat")</f>
        <v>TCE30628 2s (01) - Abs Spectra Graphs.dat</v>
      </c>
      <c r="I30" s="7">
        <v>1</v>
      </c>
      <c r="J30" s="10">
        <v>2</v>
      </c>
      <c r="K30" s="7">
        <v>3327</v>
      </c>
      <c r="L30" s="13">
        <v>0.42857142857142855</v>
      </c>
      <c r="M30" s="11"/>
    </row>
    <row r="31" spans="1:13" x14ac:dyDescent="0.35">
      <c r="A31" s="22">
        <v>30</v>
      </c>
      <c r="B31" s="8" t="s">
        <v>322</v>
      </c>
      <c r="C31" t="s">
        <v>164</v>
      </c>
      <c r="D31" t="s">
        <v>28</v>
      </c>
      <c r="E31" s="7">
        <v>0.5</v>
      </c>
      <c r="F31" s="7" t="str">
        <f>CONCATENATE(D31," (01) - Waterfall Plot Sample.dat")</f>
        <v>TFF40627 1s (01) - Waterfall Plot Sample.dat</v>
      </c>
      <c r="G31" s="7" t="str">
        <f>CONCATENATE(D31," (01) - Waterfall Plot Blank.dat")</f>
        <v>TFF40627 1s (01) - Waterfall Plot Blank.dat</v>
      </c>
      <c r="H31" s="7" t="str">
        <f>CONCATENATE(D31," (01) - Abs Spectra Graphs.dat")</f>
        <v>TFF40627 1s (01) - Abs Spectra Graphs.dat</v>
      </c>
      <c r="I31" s="7">
        <v>1</v>
      </c>
      <c r="J31" s="10">
        <v>1</v>
      </c>
      <c r="K31" s="7">
        <v>3327</v>
      </c>
      <c r="L31" s="13">
        <v>0.66666666666666663</v>
      </c>
      <c r="M31" s="11"/>
    </row>
    <row r="32" spans="1:13" x14ac:dyDescent="0.35">
      <c r="A32" s="22">
        <v>31</v>
      </c>
      <c r="B32" s="8" t="s">
        <v>322</v>
      </c>
      <c r="C32" t="s">
        <v>165</v>
      </c>
      <c r="D32" t="s">
        <v>29</v>
      </c>
      <c r="E32" s="7">
        <v>0.5</v>
      </c>
      <c r="F32" s="7" t="str">
        <f>CONCATENATE(D32," (01) - Waterfall Plot Sample.dat")</f>
        <v>TCC30628 2s (01) - Waterfall Plot Sample.dat</v>
      </c>
      <c r="G32" s="7" t="str">
        <f>CONCATENATE(D32," (01) - Waterfall Plot Blank.dat")</f>
        <v>TCC30628 2s (01) - Waterfall Plot Blank.dat</v>
      </c>
      <c r="H32" s="7" t="str">
        <f>CONCATENATE(D32," (01) - Abs Spectra Graphs.dat")</f>
        <v>TCC30628 2s (01) - Abs Spectra Graphs.dat</v>
      </c>
      <c r="I32" s="7">
        <v>1</v>
      </c>
      <c r="J32" s="10">
        <v>2</v>
      </c>
      <c r="K32" s="7">
        <v>3327</v>
      </c>
      <c r="L32" s="13">
        <v>0.43333333333333335</v>
      </c>
      <c r="M32" s="11"/>
    </row>
    <row r="33" spans="1:12" x14ac:dyDescent="0.35">
      <c r="A33" s="22">
        <v>32</v>
      </c>
      <c r="B33" s="8" t="s">
        <v>322</v>
      </c>
      <c r="C33" t="s">
        <v>166</v>
      </c>
      <c r="D33" t="s">
        <v>30</v>
      </c>
      <c r="E33" s="7">
        <v>0.5</v>
      </c>
      <c r="F33" s="7" t="str">
        <f>CONCATENATE(D33," (01) - Waterfall Plot Sample.dat")</f>
        <v>TSF40627 2s (01) - Waterfall Plot Sample.dat</v>
      </c>
      <c r="G33" s="7" t="str">
        <f>CONCATENATE(D33," (01) - Waterfall Plot Blank.dat")</f>
        <v>TSF40627 2s (01) - Waterfall Plot Blank.dat</v>
      </c>
      <c r="H33" s="7" t="str">
        <f>CONCATENATE(D33," (01) - Abs Spectra Graphs.dat")</f>
        <v>TSF40627 2s (01) - Abs Spectra Graphs.dat</v>
      </c>
      <c r="I33" s="7">
        <v>1</v>
      </c>
      <c r="J33" s="10">
        <v>2</v>
      </c>
      <c r="K33" s="7">
        <v>3327</v>
      </c>
      <c r="L33" s="13">
        <v>0.66666666666666663</v>
      </c>
    </row>
    <row r="34" spans="1:12" x14ac:dyDescent="0.35">
      <c r="A34" s="22">
        <v>33</v>
      </c>
      <c r="B34" s="8" t="s">
        <v>322</v>
      </c>
      <c r="C34" t="s">
        <v>167</v>
      </c>
      <c r="D34" t="s">
        <v>31</v>
      </c>
      <c r="E34" s="7">
        <v>0.5</v>
      </c>
      <c r="F34" s="7" t="str">
        <f>CONCATENATE(D34," (01) - Waterfall Plot Sample.dat")</f>
        <v>TFH30627 2s (01) - Waterfall Plot Sample.dat</v>
      </c>
      <c r="G34" s="7" t="str">
        <f>CONCATENATE(D34," (01) - Waterfall Plot Blank.dat")</f>
        <v>TFH30627 2s (01) - Waterfall Plot Blank.dat</v>
      </c>
      <c r="H34" s="7" t="str">
        <f>CONCATENATE(D34," (01) - Abs Spectra Graphs.dat")</f>
        <v>TFH30627 2s (01) - Abs Spectra Graphs.dat</v>
      </c>
      <c r="I34" s="7">
        <v>1</v>
      </c>
      <c r="J34" s="10">
        <v>2</v>
      </c>
      <c r="K34" s="7">
        <v>3327</v>
      </c>
      <c r="L34" s="13">
        <v>0.5</v>
      </c>
    </row>
    <row r="35" spans="1:12" x14ac:dyDescent="0.35">
      <c r="A35" s="22">
        <v>34</v>
      </c>
      <c r="B35" s="8" t="s">
        <v>322</v>
      </c>
      <c r="C35" t="s">
        <v>168</v>
      </c>
      <c r="D35" t="s">
        <v>32</v>
      </c>
      <c r="E35" s="7">
        <v>0.5</v>
      </c>
      <c r="F35" s="7" t="str">
        <f>CONCATENATE(D35," (01) - Waterfall Plot Sample.dat")</f>
        <v>TCH30628 1s (01) - Waterfall Plot Sample.dat</v>
      </c>
      <c r="G35" s="7" t="str">
        <f>CONCATENATE(D35," (01) - Waterfall Plot Blank.dat")</f>
        <v>TCH30628 1s (01) - Waterfall Plot Blank.dat</v>
      </c>
      <c r="H35" s="7" t="str">
        <f>CONCATENATE(D35," (01) - Abs Spectra Graphs.dat")</f>
        <v>TCH30628 1s (01) - Abs Spectra Graphs.dat</v>
      </c>
      <c r="I35" s="7">
        <v>1</v>
      </c>
      <c r="J35" s="10">
        <v>1</v>
      </c>
      <c r="K35" s="7">
        <v>3327</v>
      </c>
      <c r="L35" s="13">
        <v>0.5</v>
      </c>
    </row>
    <row r="36" spans="1:12" x14ac:dyDescent="0.35">
      <c r="A36" s="22">
        <v>35</v>
      </c>
      <c r="B36" s="8" t="s">
        <v>322</v>
      </c>
      <c r="C36" t="s">
        <v>169</v>
      </c>
      <c r="D36" t="s">
        <v>33</v>
      </c>
      <c r="E36" s="7">
        <v>0.5</v>
      </c>
      <c r="F36" s="7" t="str">
        <f>CONCATENATE(D36," (01) - Waterfall Plot Sample.dat")</f>
        <v>TSB40627 4s (01) - Waterfall Plot Sample.dat</v>
      </c>
      <c r="G36" s="7" t="str">
        <f>CONCATENATE(D36," (01) - Waterfall Plot Blank.dat")</f>
        <v>TSB40627 4s (01) - Waterfall Plot Blank.dat</v>
      </c>
      <c r="H36" s="7" t="str">
        <f>CONCATENATE(D36," (01) - Abs Spectra Graphs.dat")</f>
        <v>TSB40627 4s (01) - Abs Spectra Graphs.dat</v>
      </c>
      <c r="I36" s="7">
        <v>1</v>
      </c>
      <c r="J36" s="10">
        <v>4</v>
      </c>
      <c r="K36" s="7">
        <v>3327</v>
      </c>
      <c r="L36" s="13">
        <v>0.66666666666666663</v>
      </c>
    </row>
    <row r="37" spans="1:12" x14ac:dyDescent="0.35">
      <c r="A37" s="22">
        <v>36</v>
      </c>
      <c r="B37" s="8" t="s">
        <v>322</v>
      </c>
      <c r="C37" t="s">
        <v>170</v>
      </c>
      <c r="D37" t="s">
        <v>34</v>
      </c>
      <c r="E37" s="7">
        <v>0.5</v>
      </c>
      <c r="F37" s="7" t="str">
        <f>CONCATENATE(D37," (01) - Waterfall Plot Sample.dat")</f>
        <v>TFE30627 2s (01) - Waterfall Plot Sample.dat</v>
      </c>
      <c r="G37" s="7" t="str">
        <f>CONCATENATE(D37," (01) - Waterfall Plot Blank.dat")</f>
        <v>TFE30627 2s (01) - Waterfall Plot Blank.dat</v>
      </c>
      <c r="H37" s="7" t="str">
        <f>CONCATENATE(D37," (01) - Abs Spectra Graphs.dat")</f>
        <v>TFE30627 2s (01) - Abs Spectra Graphs.dat</v>
      </c>
      <c r="I37" s="7">
        <v>1</v>
      </c>
      <c r="J37" s="10">
        <v>2</v>
      </c>
      <c r="K37" s="7">
        <v>3327</v>
      </c>
      <c r="L37" s="13">
        <v>0.66666666666666663</v>
      </c>
    </row>
    <row r="38" spans="1:12" x14ac:dyDescent="0.35">
      <c r="A38" s="22">
        <v>37</v>
      </c>
      <c r="B38" s="8" t="s">
        <v>321</v>
      </c>
      <c r="C38" t="s">
        <v>171</v>
      </c>
      <c r="D38" t="s">
        <v>35</v>
      </c>
      <c r="E38" s="7">
        <v>0.5</v>
      </c>
      <c r="F38" s="7" t="str">
        <f>CONCATENATE(D38," (01) - Waterfall Plot Sample.dat")</f>
        <v>TCH60707 1s (01) - Waterfall Plot Sample.dat</v>
      </c>
      <c r="G38" s="7" t="str">
        <f>CONCATENATE(D38," (01) - Waterfall Plot Blank.dat")</f>
        <v>TCH60707 1s (01) - Waterfall Plot Blank.dat</v>
      </c>
      <c r="H38" s="7" t="str">
        <f>CONCATENATE(D38," (01) - Abs Spectra Graphs.dat")</f>
        <v>TCH60707 1s (01) - Abs Spectra Graphs.dat</v>
      </c>
      <c r="I38" s="7">
        <v>1</v>
      </c>
      <c r="J38" s="10">
        <v>1</v>
      </c>
      <c r="K38" s="7">
        <v>3295</v>
      </c>
      <c r="L38" s="13">
        <v>0.42857142857142855</v>
      </c>
    </row>
    <row r="39" spans="1:12" x14ac:dyDescent="0.35">
      <c r="A39" s="22">
        <v>38</v>
      </c>
      <c r="B39" s="8" t="s">
        <v>321</v>
      </c>
      <c r="C39" t="s">
        <v>172</v>
      </c>
      <c r="D39" t="s">
        <v>36</v>
      </c>
      <c r="E39" s="7">
        <v>0.5</v>
      </c>
      <c r="F39" s="7" t="str">
        <f>CONCATENATE(D39," (01) - Waterfall Plot Sample.dat")</f>
        <v>TFC30710 1s (01) - Waterfall Plot Sample.dat</v>
      </c>
      <c r="G39" s="7" t="str">
        <f>CONCATENATE(D39," (01) - Waterfall Plot Blank.dat")</f>
        <v>TFC30710 1s (01) - Waterfall Plot Blank.dat</v>
      </c>
      <c r="H39" s="7" t="str">
        <f>CONCATENATE(D39," (01) - Abs Spectra Graphs.dat")</f>
        <v>TFC30710 1s (01) - Abs Spectra Graphs.dat</v>
      </c>
      <c r="I39" s="7">
        <v>1</v>
      </c>
      <c r="J39" s="10">
        <v>1</v>
      </c>
      <c r="K39" s="7">
        <v>3295</v>
      </c>
      <c r="L39" s="13">
        <v>0.66666666666666663</v>
      </c>
    </row>
    <row r="40" spans="1:12" x14ac:dyDescent="0.35">
      <c r="A40" s="22">
        <v>39</v>
      </c>
      <c r="B40" s="8" t="s">
        <v>321</v>
      </c>
      <c r="C40" t="s">
        <v>173</v>
      </c>
      <c r="D40" t="s">
        <v>37</v>
      </c>
      <c r="E40" s="7">
        <v>0.5</v>
      </c>
      <c r="F40" s="7" t="str">
        <f>CONCATENATE(D40," (01) - Waterfall Plot Sample.dat")</f>
        <v>TCH60710 1s (01) - Waterfall Plot Sample.dat</v>
      </c>
      <c r="G40" s="7" t="str">
        <f>CONCATENATE(D40," (01) - Waterfall Plot Blank.dat")</f>
        <v>TCH60710 1s (01) - Waterfall Plot Blank.dat</v>
      </c>
      <c r="H40" s="7" t="str">
        <f>CONCATENATE(D40," (01) - Abs Spectra Graphs.dat")</f>
        <v>TCH60710 1s (01) - Abs Spectra Graphs.dat</v>
      </c>
      <c r="I40" s="7">
        <v>1</v>
      </c>
      <c r="J40" s="10">
        <v>1</v>
      </c>
      <c r="K40" s="7">
        <v>3295</v>
      </c>
      <c r="L40" s="13">
        <v>0.42857142857142855</v>
      </c>
    </row>
    <row r="41" spans="1:12" x14ac:dyDescent="0.35">
      <c r="A41" s="22">
        <v>40</v>
      </c>
      <c r="B41" s="8" t="s">
        <v>321</v>
      </c>
      <c r="C41" t="s">
        <v>174</v>
      </c>
      <c r="D41" t="s">
        <v>38</v>
      </c>
      <c r="E41" s="7">
        <v>0.5</v>
      </c>
      <c r="F41" s="7" t="str">
        <f>CONCATENATE(D41," (01) - Waterfall Plot Sample.dat")</f>
        <v>TFD50710 1s (01) - Waterfall Plot Sample.dat</v>
      </c>
      <c r="G41" s="7" t="str">
        <f>CONCATENATE(D41," (01) - Waterfall Plot Blank.dat")</f>
        <v>TFD50710 1s (01) - Waterfall Plot Blank.dat</v>
      </c>
      <c r="H41" s="7" t="str">
        <f>CONCATENATE(D41," (01) - Abs Spectra Graphs.dat")</f>
        <v>TFD50710 1s (01) - Abs Spectra Graphs.dat</v>
      </c>
      <c r="I41" s="7">
        <v>1</v>
      </c>
      <c r="J41" s="10">
        <v>1</v>
      </c>
      <c r="K41" s="7">
        <v>3295</v>
      </c>
      <c r="L41" s="13">
        <v>0.66666666666666663</v>
      </c>
    </row>
    <row r="42" spans="1:12" x14ac:dyDescent="0.35">
      <c r="A42" s="22">
        <v>41</v>
      </c>
      <c r="B42" s="8" t="s">
        <v>321</v>
      </c>
      <c r="C42" t="s">
        <v>175</v>
      </c>
      <c r="D42" t="s">
        <v>39</v>
      </c>
      <c r="E42" s="7">
        <v>0.5</v>
      </c>
      <c r="F42" s="7" t="str">
        <f>CONCATENATE(D42," (01) - Waterfall Plot Sample.dat")</f>
        <v>TCI50710 1s (01) - Waterfall Plot Sample.dat</v>
      </c>
      <c r="G42" s="7" t="str">
        <f>CONCATENATE(D42," (01) - Waterfall Plot Blank.dat")</f>
        <v>TCI50710 1s (01) - Waterfall Plot Blank.dat</v>
      </c>
      <c r="H42" s="7" t="str">
        <f>CONCATENATE(D42," (01) - Abs Spectra Graphs.dat")</f>
        <v>TCI50710 1s (01) - Abs Spectra Graphs.dat</v>
      </c>
      <c r="I42" s="7">
        <v>1</v>
      </c>
      <c r="J42" s="10">
        <v>1</v>
      </c>
      <c r="K42" s="7">
        <v>3295</v>
      </c>
      <c r="L42" s="13">
        <v>0.5</v>
      </c>
    </row>
    <row r="43" spans="1:12" x14ac:dyDescent="0.35">
      <c r="A43" s="22">
        <v>42</v>
      </c>
      <c r="B43" s="8" t="s">
        <v>321</v>
      </c>
      <c r="C43" t="s">
        <v>176</v>
      </c>
      <c r="D43" t="s">
        <v>40</v>
      </c>
      <c r="E43" s="7">
        <v>0.5</v>
      </c>
      <c r="F43" s="7" t="str">
        <f>CONCATENATE(D43," (01) - Waterfall Plot Sample.dat")</f>
        <v>TSF60707 2s (01) - Waterfall Plot Sample.dat</v>
      </c>
      <c r="G43" s="7" t="str">
        <f>CONCATENATE(D43," (01) - Waterfall Plot Blank.dat")</f>
        <v>TSF60707 2s (01) - Waterfall Plot Blank.dat</v>
      </c>
      <c r="H43" s="7" t="str">
        <f>CONCATENATE(D43," (01) - Abs Spectra Graphs.dat")</f>
        <v>TSF60707 2s (01) - Abs Spectra Graphs.dat</v>
      </c>
      <c r="I43" s="7">
        <v>1</v>
      </c>
      <c r="J43" s="10">
        <v>2</v>
      </c>
      <c r="K43" s="7">
        <v>3295</v>
      </c>
      <c r="L43" s="13">
        <v>0.66666666666666663</v>
      </c>
    </row>
    <row r="44" spans="1:12" x14ac:dyDescent="0.35">
      <c r="A44" s="22">
        <v>43</v>
      </c>
      <c r="B44" s="8" t="s">
        <v>321</v>
      </c>
      <c r="C44" t="s">
        <v>177</v>
      </c>
      <c r="D44" t="s">
        <v>41</v>
      </c>
      <c r="E44" s="7">
        <v>0.5</v>
      </c>
      <c r="F44" s="7" t="str">
        <f>CONCATENATE(D44," (01) - Waterfall Plot Sample.dat")</f>
        <v>TFH60710 1s (01) - Waterfall Plot Sample.dat</v>
      </c>
      <c r="G44" s="7" t="str">
        <f>CONCATENATE(D44," (01) - Waterfall Plot Blank.dat")</f>
        <v>TFH60710 1s (01) - Waterfall Plot Blank.dat</v>
      </c>
      <c r="H44" s="7" t="str">
        <f>CONCATENATE(D44," (01) - Abs Spectra Graphs.dat")</f>
        <v>TFH60710 1s (01) - Abs Spectra Graphs.dat</v>
      </c>
      <c r="I44" s="7">
        <v>1</v>
      </c>
      <c r="J44" s="10">
        <v>1</v>
      </c>
      <c r="K44" s="7">
        <v>3295</v>
      </c>
      <c r="L44" s="13">
        <v>0.66666666666666663</v>
      </c>
    </row>
    <row r="45" spans="1:12" x14ac:dyDescent="0.35">
      <c r="A45" s="22">
        <v>44</v>
      </c>
      <c r="B45" s="8" t="s">
        <v>321</v>
      </c>
      <c r="C45" t="s">
        <v>178</v>
      </c>
      <c r="D45" t="s">
        <v>293</v>
      </c>
      <c r="E45" s="7">
        <v>0.5</v>
      </c>
      <c r="F45" s="7" t="str">
        <f>CONCATENATE(D45," (01) - Waterfall Plot Sample.dat")</f>
        <v>TCD50627 2s (01) - Waterfall Plot Sample.dat</v>
      </c>
      <c r="G45" s="7" t="str">
        <f>CONCATENATE(D45," (01) - Waterfall Plot Blank.dat")</f>
        <v>TCD50627 2s (01) - Waterfall Plot Blank.dat</v>
      </c>
      <c r="H45" s="7" t="str">
        <f>CONCATENATE(D45," (01) - Abs Spectra Graphs.dat")</f>
        <v>TCD50627 2s (01) - Abs Spectra Graphs.dat</v>
      </c>
      <c r="I45" s="7">
        <v>1</v>
      </c>
      <c r="J45" s="10">
        <v>2</v>
      </c>
      <c r="K45" s="7">
        <v>3295</v>
      </c>
      <c r="L45" s="13">
        <v>0.5</v>
      </c>
    </row>
    <row r="46" spans="1:12" x14ac:dyDescent="0.35">
      <c r="A46" s="22">
        <v>45</v>
      </c>
      <c r="B46" s="8" t="s">
        <v>321</v>
      </c>
      <c r="C46" t="s">
        <v>179</v>
      </c>
      <c r="D46" t="s">
        <v>42</v>
      </c>
      <c r="E46" s="7">
        <v>0.5</v>
      </c>
      <c r="F46" s="7" t="str">
        <f>CONCATENATE(D46," (01) - Waterfall Plot Sample.dat")</f>
        <v>TSC30627 2s (01) - Waterfall Plot Sample.dat</v>
      </c>
      <c r="G46" s="7" t="str">
        <f>CONCATENATE(D46," (01) - Waterfall Plot Blank.dat")</f>
        <v>TSC30627 2s (01) - Waterfall Plot Blank.dat</v>
      </c>
      <c r="H46" s="7" t="str">
        <f>CONCATENATE(D46," (01) - Abs Spectra Graphs.dat")</f>
        <v>TSC30627 2s (01) - Abs Spectra Graphs.dat</v>
      </c>
      <c r="I46" s="7">
        <v>1</v>
      </c>
      <c r="J46" s="10">
        <v>2</v>
      </c>
      <c r="K46" s="7">
        <v>3295</v>
      </c>
      <c r="L46" s="13">
        <v>0.66666666666666663</v>
      </c>
    </row>
    <row r="47" spans="1:12" x14ac:dyDescent="0.35">
      <c r="A47" s="22">
        <v>46</v>
      </c>
      <c r="B47" s="8" t="s">
        <v>321</v>
      </c>
      <c r="C47" t="s">
        <v>180</v>
      </c>
      <c r="D47" t="s">
        <v>43</v>
      </c>
      <c r="E47" s="7">
        <v>0.5</v>
      </c>
      <c r="F47" s="7" t="str">
        <f>CONCATENATE(D47," (01) - Waterfall Plot Sample.dat")</f>
        <v>TFC30627 1s (01) - Waterfall Plot Sample.dat</v>
      </c>
      <c r="G47" s="7" t="str">
        <f>CONCATENATE(D47," (01) - Waterfall Plot Blank.dat")</f>
        <v>TFC30627 1s (01) - Waterfall Plot Blank.dat</v>
      </c>
      <c r="H47" s="7" t="str">
        <f>CONCATENATE(D47," (01) - Abs Spectra Graphs.dat")</f>
        <v>TFC30627 1s (01) - Abs Spectra Graphs.dat</v>
      </c>
      <c r="I47" s="7">
        <v>1</v>
      </c>
      <c r="J47" s="10">
        <v>1</v>
      </c>
      <c r="K47" s="7">
        <v>3295</v>
      </c>
      <c r="L47" s="13">
        <v>0.66666666666666663</v>
      </c>
    </row>
    <row r="48" spans="1:12" x14ac:dyDescent="0.35">
      <c r="A48" s="22">
        <v>47</v>
      </c>
      <c r="B48" s="8" t="s">
        <v>321</v>
      </c>
      <c r="C48" t="s">
        <v>181</v>
      </c>
      <c r="D48" t="s">
        <v>44</v>
      </c>
      <c r="E48" s="7">
        <v>0.5</v>
      </c>
      <c r="F48" s="7" t="str">
        <f>CONCATENATE(D48," (01) - Waterfall Plot Sample.dat")</f>
        <v>TCI50628 1s (01) - Waterfall Plot Sample.dat</v>
      </c>
      <c r="G48" s="7" t="str">
        <f>CONCATENATE(D48," (01) - Waterfall Plot Blank.dat")</f>
        <v>TCI50628 1s (01) - Waterfall Plot Blank.dat</v>
      </c>
      <c r="H48" s="7" t="str">
        <f>CONCATENATE(D48," (01) - Abs Spectra Graphs.dat")</f>
        <v>TCI50628 1s (01) - Abs Spectra Graphs.dat</v>
      </c>
      <c r="I48" s="7">
        <v>1</v>
      </c>
      <c r="J48" s="10">
        <v>1</v>
      </c>
      <c r="K48" s="7">
        <v>3295</v>
      </c>
      <c r="L48" s="13">
        <v>0.5</v>
      </c>
    </row>
    <row r="49" spans="1:12" x14ac:dyDescent="0.35">
      <c r="A49" s="22">
        <v>48</v>
      </c>
      <c r="B49" s="8" t="s">
        <v>321</v>
      </c>
      <c r="C49" t="s">
        <v>182</v>
      </c>
      <c r="D49" t="s">
        <v>45</v>
      </c>
      <c r="E49" s="7">
        <v>0.5</v>
      </c>
      <c r="F49" s="7" t="str">
        <f>CONCATENATE(D49," (01) - Waterfall Plot Sample.dat")</f>
        <v>TSE30627 4s (01) - Waterfall Plot Sample.dat</v>
      </c>
      <c r="G49" s="7" t="str">
        <f>CONCATENATE(D49," (01) - Waterfall Plot Blank.dat")</f>
        <v>TSE30627 4s (01) - Waterfall Plot Blank.dat</v>
      </c>
      <c r="H49" s="7" t="str">
        <f>CONCATENATE(D49," (01) - Abs Spectra Graphs.dat")</f>
        <v>TSE30627 4s (01) - Abs Spectra Graphs.dat</v>
      </c>
      <c r="I49" s="7">
        <v>1</v>
      </c>
      <c r="J49" s="10">
        <v>4</v>
      </c>
      <c r="K49" s="7">
        <v>3295</v>
      </c>
      <c r="L49" s="13">
        <v>0.66666666666666663</v>
      </c>
    </row>
    <row r="50" spans="1:12" x14ac:dyDescent="0.35">
      <c r="A50" s="22">
        <v>49</v>
      </c>
      <c r="B50" s="8" t="s">
        <v>321</v>
      </c>
      <c r="C50" t="s">
        <v>183</v>
      </c>
      <c r="D50" t="s">
        <v>46</v>
      </c>
      <c r="E50" s="7">
        <v>0.5</v>
      </c>
      <c r="F50" s="7" t="str">
        <f>CONCATENATE(D50," (01) - Waterfall Plot Sample.dat")</f>
        <v>TFD50627 1s (01) - Waterfall Plot Sample.dat</v>
      </c>
      <c r="G50" s="7" t="str">
        <f>CONCATENATE(D50," (01) - Waterfall Plot Blank.dat")</f>
        <v>TFD50627 1s (01) - Waterfall Plot Blank.dat</v>
      </c>
      <c r="H50" s="7" t="str">
        <f>CONCATENATE(D50," (01) - Abs Spectra Graphs.dat")</f>
        <v>TFD50627 1s (01) - Abs Spectra Graphs.dat</v>
      </c>
      <c r="I50" s="7">
        <v>1</v>
      </c>
      <c r="J50" s="10">
        <v>1</v>
      </c>
      <c r="K50" s="7">
        <v>3295</v>
      </c>
      <c r="L50" s="13">
        <v>0.66666666666666663</v>
      </c>
    </row>
    <row r="51" spans="1:12" x14ac:dyDescent="0.35">
      <c r="A51" s="22">
        <v>50</v>
      </c>
      <c r="B51" s="8" t="s">
        <v>319</v>
      </c>
      <c r="C51" t="s">
        <v>184</v>
      </c>
      <c r="D51" t="s">
        <v>47</v>
      </c>
      <c r="E51" s="7">
        <v>0.5</v>
      </c>
      <c r="F51" s="7" t="str">
        <f>CONCATENATE(D51," (01) - Waterfall Plot Sample.dat")</f>
        <v>TSD50627 4s (01) - Waterfall Plot Sample.dat</v>
      </c>
      <c r="G51" s="7" t="str">
        <f>CONCATENATE(D51," (01) - Waterfall Plot Blank.dat")</f>
        <v>TSD50627 4s (01) - Waterfall Plot Blank.dat</v>
      </c>
      <c r="H51" s="7" t="str">
        <f>CONCATENATE(D51," (01) - Abs Spectra Graphs.dat")</f>
        <v>TSD50627 4s (01) - Abs Spectra Graphs.dat</v>
      </c>
      <c r="I51" s="7">
        <v>1</v>
      </c>
      <c r="J51" s="10">
        <v>4</v>
      </c>
      <c r="K51" s="7">
        <v>3302</v>
      </c>
      <c r="L51" s="13">
        <v>0.66666666666666663</v>
      </c>
    </row>
    <row r="52" spans="1:12" x14ac:dyDescent="0.35">
      <c r="A52" s="22">
        <v>51</v>
      </c>
      <c r="B52" s="8" t="s">
        <v>319</v>
      </c>
      <c r="C52" t="s">
        <v>185</v>
      </c>
      <c r="D52" t="s">
        <v>48</v>
      </c>
      <c r="E52" s="7">
        <v>0.5</v>
      </c>
      <c r="F52" s="7" t="str">
        <f>CONCATENATE(D52," (01) - Waterfall Plot Sample.dat")</f>
        <v>TFF60627 1s (01) - Waterfall Plot Sample.dat</v>
      </c>
      <c r="G52" s="7" t="str">
        <f>CONCATENATE(D52," (01) - Waterfall Plot Blank.dat")</f>
        <v>TFF60627 1s (01) - Waterfall Plot Blank.dat</v>
      </c>
      <c r="H52" s="7" t="str">
        <f>CONCATENATE(D52," (01) - Abs Spectra Graphs.dat")</f>
        <v>TFF60627 1s (01) - Abs Spectra Graphs.dat</v>
      </c>
      <c r="I52" s="7">
        <v>1</v>
      </c>
      <c r="J52" s="10">
        <v>1</v>
      </c>
      <c r="K52" s="7">
        <v>3302</v>
      </c>
      <c r="L52" s="13">
        <v>0.66666666666666663</v>
      </c>
    </row>
    <row r="53" spans="1:12" x14ac:dyDescent="0.35">
      <c r="A53" s="22">
        <v>52</v>
      </c>
      <c r="B53" s="8" t="s">
        <v>319</v>
      </c>
      <c r="C53" t="s">
        <v>186</v>
      </c>
      <c r="D53" t="s">
        <v>49</v>
      </c>
      <c r="E53" s="7">
        <v>0.5</v>
      </c>
      <c r="F53" s="7" t="str">
        <f>CONCATENATE(D53," (02) - Waterfall Plot Sample.dat")</f>
        <v>TCH60628 1s (02) - Waterfall Plot Sample.dat</v>
      </c>
      <c r="G53" s="7" t="str">
        <f>CONCATENATE(D53," (02) - Waterfall Plot Blank.dat")</f>
        <v>TCH60628 1s (02) - Waterfall Plot Blank.dat</v>
      </c>
      <c r="H53" s="7" t="str">
        <f>CONCATENATE(D53," (02) - Abs Spectra Graphs.dat")</f>
        <v>TCH60628 1s (02) - Abs Spectra Graphs.dat</v>
      </c>
      <c r="I53" s="7">
        <v>1</v>
      </c>
      <c r="J53" s="10">
        <v>1</v>
      </c>
      <c r="K53" s="7">
        <v>3302</v>
      </c>
      <c r="L53" s="13">
        <v>0.39999999999999997</v>
      </c>
    </row>
    <row r="54" spans="1:12" x14ac:dyDescent="0.35">
      <c r="A54" s="22">
        <v>53</v>
      </c>
      <c r="B54" s="8" t="s">
        <v>319</v>
      </c>
      <c r="C54" t="s">
        <v>187</v>
      </c>
      <c r="D54" t="s">
        <v>50</v>
      </c>
      <c r="E54" s="7">
        <v>0.5</v>
      </c>
      <c r="F54" s="7" t="str">
        <f>CONCATENATE(D54," (01) - Waterfall Plot Sample.dat")</f>
        <v>TCF60628 1s (01) - Waterfall Plot Sample.dat</v>
      </c>
      <c r="G54" s="7" t="str">
        <f>CONCATENATE(D54," (01) - Waterfall Plot Blank.dat")</f>
        <v>TCF60628 1s (01) - Waterfall Plot Blank.dat</v>
      </c>
      <c r="H54" s="7" t="str">
        <f>CONCATENATE(D54," (01) - Abs Spectra Graphs.dat")</f>
        <v>TCF60628 1s (01) - Abs Spectra Graphs.dat</v>
      </c>
      <c r="I54" s="7">
        <v>1</v>
      </c>
      <c r="J54" s="10">
        <v>1</v>
      </c>
      <c r="K54" s="7">
        <v>3302</v>
      </c>
      <c r="L54" s="13">
        <v>0.5</v>
      </c>
    </row>
    <row r="55" spans="1:12" x14ac:dyDescent="0.35">
      <c r="A55" s="22">
        <v>54</v>
      </c>
      <c r="B55" s="8" t="s">
        <v>319</v>
      </c>
      <c r="C55" t="s">
        <v>188</v>
      </c>
      <c r="D55" t="s">
        <v>51</v>
      </c>
      <c r="E55" s="7">
        <v>0.5</v>
      </c>
      <c r="F55" s="7" t="str">
        <f>CONCATENATE(D55," (01) - Waterfall Plot Sample.dat")</f>
        <v>TSH30627 4s (01) - Waterfall Plot Sample.dat</v>
      </c>
      <c r="G55" s="7" t="str">
        <f>CONCATENATE(D55," (01) - Waterfall Plot Blank.dat")</f>
        <v>TSH30627 4s (01) - Waterfall Plot Blank.dat</v>
      </c>
      <c r="H55" s="7" t="str">
        <f>CONCATENATE(D55," (01) - Abs Spectra Graphs.dat")</f>
        <v>TSH30627 4s (01) - Abs Spectra Graphs.dat</v>
      </c>
      <c r="I55" s="7">
        <v>1</v>
      </c>
      <c r="J55" s="10">
        <v>4</v>
      </c>
      <c r="K55" s="7">
        <v>3302</v>
      </c>
      <c r="L55" s="13">
        <v>0.66666666666666663</v>
      </c>
    </row>
    <row r="56" spans="1:12" x14ac:dyDescent="0.35">
      <c r="A56" s="22">
        <v>55</v>
      </c>
      <c r="B56" s="8" t="s">
        <v>319</v>
      </c>
      <c r="C56" t="s">
        <v>189</v>
      </c>
      <c r="D56" t="s">
        <v>52</v>
      </c>
      <c r="E56" s="7">
        <v>0.5</v>
      </c>
      <c r="F56" s="7" t="str">
        <f>CONCATENATE(D56," (01) - Waterfall Plot Sample.dat")</f>
        <v>TFB40627 1s (01) - Waterfall Plot Sample.dat</v>
      </c>
      <c r="G56" s="7" t="str">
        <f>CONCATENATE(D56," (01) - Waterfall Plot Blank.dat")</f>
        <v>TFB40627 1s (01) - Waterfall Plot Blank.dat</v>
      </c>
      <c r="H56" s="7" t="str">
        <f>CONCATENATE(D56," (01) - Abs Spectra Graphs.dat")</f>
        <v>TFB40627 1s (01) - Abs Spectra Graphs.dat</v>
      </c>
      <c r="I56" s="7">
        <v>1</v>
      </c>
      <c r="J56" s="10">
        <v>1</v>
      </c>
      <c r="K56" s="7">
        <v>3302</v>
      </c>
      <c r="L56" s="13">
        <v>0.83333333333333337</v>
      </c>
    </row>
    <row r="57" spans="1:12" x14ac:dyDescent="0.35">
      <c r="A57" s="22">
        <v>56</v>
      </c>
      <c r="B57" s="8" t="s">
        <v>319</v>
      </c>
      <c r="C57" t="s">
        <v>190</v>
      </c>
      <c r="D57" t="s">
        <v>53</v>
      </c>
      <c r="E57" s="7">
        <v>0.5</v>
      </c>
      <c r="F57" s="7" t="str">
        <f>CONCATENATE(D57," (01) - Waterfall Plot Sample.dat")</f>
        <v>TSF60627 4s (01) - Waterfall Plot Sample.dat</v>
      </c>
      <c r="G57" s="7" t="str">
        <f>CONCATENATE(D57," (01) - Waterfall Plot Blank.dat")</f>
        <v>TSF60627 4s (01) - Waterfall Plot Blank.dat</v>
      </c>
      <c r="H57" s="7" t="str">
        <f>CONCATENATE(D57," (01) - Abs Spectra Graphs.dat")</f>
        <v>TSF60627 4s (01) - Abs Spectra Graphs.dat</v>
      </c>
      <c r="I57" s="7">
        <v>1</v>
      </c>
      <c r="J57" s="10">
        <v>4</v>
      </c>
      <c r="K57" s="7">
        <v>3302</v>
      </c>
      <c r="L57" s="13">
        <v>0.66666666666666663</v>
      </c>
    </row>
    <row r="58" spans="1:12" x14ac:dyDescent="0.35">
      <c r="A58" s="22">
        <v>57</v>
      </c>
      <c r="B58" s="8" t="s">
        <v>319</v>
      </c>
      <c r="C58" t="s">
        <v>191</v>
      </c>
      <c r="D58" t="s">
        <v>54</v>
      </c>
      <c r="E58" s="7">
        <v>0.5</v>
      </c>
      <c r="F58" s="7" t="str">
        <f>CONCATENATE(D58," (01) - Waterfall Plot Sample.dat")</f>
        <v>TCC60628 2s (01) - Waterfall Plot Sample.dat</v>
      </c>
      <c r="G58" s="7" t="str">
        <f>CONCATENATE(D58," (01) - Waterfall Plot Blank.dat")</f>
        <v>TCC60628 2s (01) - Waterfall Plot Blank.dat</v>
      </c>
      <c r="H58" s="7" t="str">
        <f>CONCATENATE(D58," (01) - Abs Spectra Graphs.dat")</f>
        <v>TCC60628 2s (01) - Abs Spectra Graphs.dat</v>
      </c>
      <c r="I58" s="7">
        <v>1</v>
      </c>
      <c r="J58" s="10">
        <v>2</v>
      </c>
      <c r="K58" s="7">
        <v>3302</v>
      </c>
      <c r="L58" s="13">
        <v>0.41666666666666669</v>
      </c>
    </row>
    <row r="59" spans="1:12" x14ac:dyDescent="0.35">
      <c r="A59" s="22">
        <v>58</v>
      </c>
      <c r="B59" s="8" t="s">
        <v>319</v>
      </c>
      <c r="C59" t="s">
        <v>192</v>
      </c>
      <c r="D59" t="s">
        <v>55</v>
      </c>
      <c r="E59" s="7">
        <v>0.5</v>
      </c>
      <c r="F59" s="7" t="str">
        <f>CONCATENATE(D59," (01) - Waterfall Plot Sample.dat")</f>
        <v>TFI50627 1s (01) - Waterfall Plot Sample.dat</v>
      </c>
      <c r="G59" s="7" t="str">
        <f>CONCATENATE(D59," (01) - Waterfall Plot Blank.dat")</f>
        <v>TFI50627 1s (01) - Waterfall Plot Blank.dat</v>
      </c>
      <c r="H59" s="7" t="str">
        <f>CONCATENATE(D59," (01) - Abs Spectra Graphs.dat")</f>
        <v>TFI50627 1s (01) - Abs Spectra Graphs.dat</v>
      </c>
      <c r="I59" s="7">
        <v>1</v>
      </c>
      <c r="J59" s="10">
        <v>1</v>
      </c>
      <c r="K59" s="7">
        <v>3302</v>
      </c>
      <c r="L59" s="13">
        <v>0.66666666666666663</v>
      </c>
    </row>
    <row r="60" spans="1:12" x14ac:dyDescent="0.35">
      <c r="A60" s="22">
        <v>59</v>
      </c>
      <c r="B60" s="8" t="s">
        <v>319</v>
      </c>
      <c r="C60" t="s">
        <v>193</v>
      </c>
      <c r="D60" t="s">
        <v>56</v>
      </c>
      <c r="E60" s="7">
        <v>0.5</v>
      </c>
      <c r="F60" s="7" t="str">
        <f>CONCATENATE(D60," (01) - Waterfall Plot Sample.dat")</f>
        <v>TSC30617 4s (01) - Waterfall Plot Sample.dat</v>
      </c>
      <c r="G60" s="7" t="str">
        <f>CONCATENATE(D60," (01) - Waterfall Plot Blank.dat")</f>
        <v>TSC30617 4s (01) - Waterfall Plot Blank.dat</v>
      </c>
      <c r="H60" s="7" t="str">
        <f>CONCATENATE(D60," (01) - Abs Spectra Graphs.dat")</f>
        <v>TSC30617 4s (01) - Abs Spectra Graphs.dat</v>
      </c>
      <c r="I60" s="7">
        <v>1</v>
      </c>
      <c r="J60" s="10">
        <v>4</v>
      </c>
      <c r="K60" s="7">
        <v>3302</v>
      </c>
      <c r="L60" s="13">
        <v>0.39999999999999997</v>
      </c>
    </row>
    <row r="61" spans="1:12" x14ac:dyDescent="0.35">
      <c r="A61" s="22">
        <v>60</v>
      </c>
      <c r="B61" s="8" t="s">
        <v>319</v>
      </c>
      <c r="C61" t="s">
        <v>194</v>
      </c>
      <c r="D61" t="s">
        <v>57</v>
      </c>
      <c r="E61" s="7">
        <v>0.5</v>
      </c>
      <c r="F61" s="7" t="str">
        <f>CONCATENATE(D61," (01) - Waterfall Plot Sample.dat")</f>
        <v>TSE30617 4s (01) - Waterfall Plot Sample.dat</v>
      </c>
      <c r="G61" s="7" t="str">
        <f>CONCATENATE(D61," (01) - Waterfall Plot Blank.dat")</f>
        <v>TSE30617 4s (01) - Waterfall Plot Blank.dat</v>
      </c>
      <c r="H61" s="7" t="str">
        <f>CONCATENATE(D61," (01) - Abs Spectra Graphs.dat")</f>
        <v>TSE30617 4s (01) - Abs Spectra Graphs.dat</v>
      </c>
      <c r="I61" s="7">
        <v>1</v>
      </c>
      <c r="J61" s="10">
        <v>4</v>
      </c>
      <c r="K61" s="7">
        <v>3302</v>
      </c>
      <c r="L61" s="13">
        <v>0.51851851851851849</v>
      </c>
    </row>
    <row r="62" spans="1:12" x14ac:dyDescent="0.35">
      <c r="A62" s="22">
        <v>61</v>
      </c>
      <c r="B62" s="8" t="s">
        <v>319</v>
      </c>
      <c r="C62" t="s">
        <v>195</v>
      </c>
      <c r="D62" t="s">
        <v>58</v>
      </c>
      <c r="E62" s="7">
        <v>0.5</v>
      </c>
      <c r="F62" s="7" t="str">
        <f>CONCATENATE(D62," (01) - Waterfall Plot Sample.dat")</f>
        <v>TSH60614 4s (01) - Waterfall Plot Sample.dat</v>
      </c>
      <c r="G62" s="7" t="str">
        <f>CONCATENATE(D62," (01) - Waterfall Plot Blank.dat")</f>
        <v>TSH60614 4s (01) - Waterfall Plot Blank.dat</v>
      </c>
      <c r="H62" s="7" t="str">
        <f>CONCATENATE(D62," (01) - Abs Spectra Graphs.dat")</f>
        <v>TSH60614 4s (01) - Abs Spectra Graphs.dat</v>
      </c>
      <c r="I62" s="7">
        <v>1</v>
      </c>
      <c r="J62" s="10">
        <v>4</v>
      </c>
      <c r="K62" s="7">
        <v>3302</v>
      </c>
      <c r="L62" s="13">
        <v>0.53333333333333333</v>
      </c>
    </row>
    <row r="63" spans="1:12" x14ac:dyDescent="0.35">
      <c r="A63" s="22">
        <v>62</v>
      </c>
      <c r="B63" s="8" t="s">
        <v>320</v>
      </c>
      <c r="C63" t="s">
        <v>196</v>
      </c>
      <c r="D63" t="s">
        <v>59</v>
      </c>
      <c r="E63" s="7">
        <v>0.5</v>
      </c>
      <c r="F63" s="7" t="str">
        <f>CONCATENATE(D63," (01) - Waterfall Plot Sample.dat")</f>
        <v>TSE30612 4s (01) - Waterfall Plot Sample.dat</v>
      </c>
      <c r="G63" s="7" t="str">
        <f>CONCATENATE(D63," (01) - Waterfall Plot Blank.dat")</f>
        <v>TSE30612 4s (01) - Waterfall Plot Blank.dat</v>
      </c>
      <c r="H63" s="7" t="str">
        <f>CONCATENATE(D63," (01) - Abs Spectra Graphs.dat")</f>
        <v>TSE30612 4s (01) - Abs Spectra Graphs.dat</v>
      </c>
      <c r="I63" s="7">
        <v>1</v>
      </c>
      <c r="J63" s="10">
        <v>4</v>
      </c>
      <c r="K63" s="7">
        <v>3197</v>
      </c>
      <c r="L63" s="13">
        <v>0.66666666666666663</v>
      </c>
    </row>
    <row r="64" spans="1:12" x14ac:dyDescent="0.35">
      <c r="A64" s="22">
        <v>63</v>
      </c>
      <c r="B64" s="8" t="s">
        <v>320</v>
      </c>
      <c r="C64" t="s">
        <v>197</v>
      </c>
      <c r="D64" t="s">
        <v>60</v>
      </c>
      <c r="E64" s="7">
        <v>0.5</v>
      </c>
      <c r="F64" s="7" t="str">
        <f>CONCATENATE(D64," (01) - Waterfall Plot Sample.dat")</f>
        <v>TFD50614 2s (01) - Waterfall Plot Sample.dat</v>
      </c>
      <c r="G64" s="7" t="str">
        <f>CONCATENATE(D64," (01) - Waterfall Plot Blank.dat")</f>
        <v>TFD50614 2s (01) - Waterfall Plot Blank.dat</v>
      </c>
      <c r="H64" s="7" t="str">
        <f>CONCATENATE(D64," (01) - Abs Spectra Graphs.dat")</f>
        <v>TFD50614 2s (01) - Abs Spectra Graphs.dat</v>
      </c>
      <c r="I64" s="7">
        <v>1</v>
      </c>
      <c r="J64" s="10">
        <v>2</v>
      </c>
      <c r="K64" s="7">
        <v>3197</v>
      </c>
      <c r="L64" s="13">
        <v>0.73333333333333339</v>
      </c>
    </row>
    <row r="65" spans="1:12" x14ac:dyDescent="0.35">
      <c r="A65" s="22">
        <v>64</v>
      </c>
      <c r="B65" s="8" t="s">
        <v>320</v>
      </c>
      <c r="C65" t="s">
        <v>198</v>
      </c>
      <c r="D65" t="s">
        <v>61</v>
      </c>
      <c r="E65" s="7">
        <v>0.5</v>
      </c>
      <c r="F65" s="7" t="str">
        <f>CONCATENATE(D65," (01) - Waterfall Plot Sample.dat")</f>
        <v>TFC30614 2s (01) - Waterfall Plot Sample.dat</v>
      </c>
      <c r="G65" s="7" t="str">
        <f>CONCATENATE(D65," (01) - Waterfall Plot Blank.dat")</f>
        <v>TFC30614 2s (01) - Waterfall Plot Blank.dat</v>
      </c>
      <c r="H65" s="7" t="str">
        <f>CONCATENATE(D65," (01) - Abs Spectra Graphs.dat")</f>
        <v>TFC30614 2s (01) - Abs Spectra Graphs.dat</v>
      </c>
      <c r="I65" s="7">
        <v>1</v>
      </c>
      <c r="J65" s="10">
        <v>2</v>
      </c>
      <c r="K65" s="7">
        <v>3197</v>
      </c>
      <c r="L65" s="13">
        <v>0.65714285714285714</v>
      </c>
    </row>
    <row r="66" spans="1:12" x14ac:dyDescent="0.35">
      <c r="A66" s="22">
        <v>65</v>
      </c>
      <c r="B66" s="8" t="s">
        <v>320</v>
      </c>
      <c r="C66" t="s">
        <v>199</v>
      </c>
      <c r="D66" t="s">
        <v>318</v>
      </c>
      <c r="E66" s="7">
        <v>0.5</v>
      </c>
      <c r="F66" s="7" t="str">
        <f>CONCATENATE(D66," (01) - Waterfall Plot Sample.dat")</f>
        <v>TFH60617 1s (01) - Waterfall Plot Sample.dat</v>
      </c>
      <c r="G66" s="7" t="str">
        <f>CONCATENATE(D66," (01) - Waterfall Plot Blank.dat")</f>
        <v>TFH60617 1s (01) - Waterfall Plot Blank.dat</v>
      </c>
      <c r="H66" s="7" t="str">
        <f>CONCATENATE(D66," (01) - Abs Spectra Graphs.dat")</f>
        <v>TFH60617 1s (01) - Abs Spectra Graphs.dat</v>
      </c>
      <c r="I66" s="7">
        <v>1</v>
      </c>
      <c r="J66" s="10">
        <v>1</v>
      </c>
      <c r="K66" s="7">
        <v>3197</v>
      </c>
      <c r="L66" s="13">
        <v>0.76666666666666661</v>
      </c>
    </row>
    <row r="67" spans="1:12" x14ac:dyDescent="0.35">
      <c r="A67" s="22">
        <v>66</v>
      </c>
      <c r="B67" s="8" t="s">
        <v>320</v>
      </c>
      <c r="C67" t="s">
        <v>200</v>
      </c>
      <c r="D67" t="s">
        <v>62</v>
      </c>
      <c r="E67" s="7">
        <v>0.5</v>
      </c>
      <c r="F67" s="7" t="str">
        <f>CONCATENATE(D67," (02) - Waterfall Plot Sample.dat")</f>
        <v>TSB40617 4s (02) - Waterfall Plot Sample.dat</v>
      </c>
      <c r="G67" s="7" t="str">
        <f>CONCATENATE(D67," (02) - Waterfall Plot Blank.dat")</f>
        <v>TSB40617 4s (02) - Waterfall Plot Blank.dat</v>
      </c>
      <c r="H67" s="7" t="str">
        <f>CONCATENATE(D67," (02) - Abs Spectra Graphs.dat")</f>
        <v>TSB40617 4s (02) - Abs Spectra Graphs.dat</v>
      </c>
      <c r="I67" s="7">
        <v>1</v>
      </c>
      <c r="J67" s="10">
        <v>4</v>
      </c>
      <c r="K67" s="7">
        <v>3197</v>
      </c>
      <c r="L67" s="13">
        <v>0.66666666666666663</v>
      </c>
    </row>
    <row r="68" spans="1:12" x14ac:dyDescent="0.35">
      <c r="A68" s="22">
        <v>67</v>
      </c>
      <c r="B68" s="8" t="s">
        <v>320</v>
      </c>
      <c r="C68" t="s">
        <v>201</v>
      </c>
      <c r="D68" t="s">
        <v>63</v>
      </c>
      <c r="E68" s="7">
        <v>0.5</v>
      </c>
      <c r="F68" s="7" t="str">
        <f>CONCATENATE(D68," (01) - Waterfall Plot Sample.dat")</f>
        <v>TSD50617 4s (01) - Waterfall Plot Sample.dat</v>
      </c>
      <c r="G68" s="7" t="str">
        <f>CONCATENATE(D68," (01) - Waterfall Plot Blank.dat")</f>
        <v>TSD50617 4s (01) - Waterfall Plot Blank.dat</v>
      </c>
      <c r="H68" s="7" t="str">
        <f>CONCATENATE(D68," (01) - Abs Spectra Graphs.dat")</f>
        <v>TSD50617 4s (01) - Abs Spectra Graphs.dat</v>
      </c>
      <c r="I68" s="7">
        <v>1</v>
      </c>
      <c r="J68" s="10">
        <v>4</v>
      </c>
      <c r="K68" s="7">
        <v>3197</v>
      </c>
      <c r="L68" s="13">
        <v>0.66666666666666663</v>
      </c>
    </row>
    <row r="69" spans="1:12" x14ac:dyDescent="0.35">
      <c r="A69" s="22">
        <v>68</v>
      </c>
      <c r="B69" s="8" t="s">
        <v>320</v>
      </c>
      <c r="C69" t="s">
        <v>202</v>
      </c>
      <c r="D69" t="s">
        <v>64</v>
      </c>
      <c r="E69" s="7">
        <v>0.5</v>
      </c>
      <c r="F69" s="7" t="str">
        <f>CONCATENATE(D69," (01) - Waterfall Plot Sample.dat")</f>
        <v>TSE30614 4s (01) - Waterfall Plot Sample.dat</v>
      </c>
      <c r="G69" s="7" t="str">
        <f>CONCATENATE(D69," (01) - Waterfall Plot Blank.dat")</f>
        <v>TSE30614 4s (01) - Waterfall Plot Blank.dat</v>
      </c>
      <c r="H69" s="7" t="str">
        <f>CONCATENATE(D69," (01) - Abs Spectra Graphs.dat")</f>
        <v>TSE30614 4s (01) - Abs Spectra Graphs.dat</v>
      </c>
      <c r="I69" s="7">
        <v>1</v>
      </c>
      <c r="J69" s="10">
        <v>4</v>
      </c>
      <c r="K69" s="7">
        <v>3197</v>
      </c>
      <c r="L69" s="13">
        <v>1</v>
      </c>
    </row>
    <row r="70" spans="1:12" x14ac:dyDescent="0.35">
      <c r="A70" s="22">
        <v>69</v>
      </c>
      <c r="B70" s="8" t="s">
        <v>320</v>
      </c>
      <c r="C70" t="s">
        <v>317</v>
      </c>
      <c r="D70" t="s">
        <v>316</v>
      </c>
      <c r="E70" s="7">
        <v>1</v>
      </c>
      <c r="F70" s="7" t="str">
        <f>CONCATENATE(D70," (01) - Waterfall Plot Sample.dat")</f>
        <v>TSF60614 4s (01) - Waterfall Plot Sample.dat</v>
      </c>
      <c r="G70" s="7" t="str">
        <f>CONCATENATE(D70," (01) - Waterfall Plot Blank.dat")</f>
        <v>TSF60614 4s (01) - Waterfall Plot Blank.dat</v>
      </c>
      <c r="H70" s="7" t="str">
        <f>CONCATENATE(D70," (01) - Abs Spectra Graphs.dat")</f>
        <v>TSF60614 4s (01) - Abs Spectra Graphs.dat</v>
      </c>
      <c r="I70" s="7">
        <v>1</v>
      </c>
      <c r="J70" s="10">
        <v>4</v>
      </c>
      <c r="K70" s="7">
        <v>3197</v>
      </c>
      <c r="L70" s="13">
        <v>0.66666666666666663</v>
      </c>
    </row>
    <row r="71" spans="1:12" x14ac:dyDescent="0.35">
      <c r="A71" s="22">
        <v>70</v>
      </c>
      <c r="B71" s="8" t="s">
        <v>315</v>
      </c>
      <c r="C71" t="s">
        <v>203</v>
      </c>
      <c r="D71" t="s">
        <v>65</v>
      </c>
      <c r="E71" s="7">
        <v>0.5</v>
      </c>
      <c r="F71" s="7" t="str">
        <f>CONCATENATE(D71," (01) - Waterfall Plot Sample.dat")</f>
        <v>TSD50614 4s (01) - Waterfall Plot Sample.dat</v>
      </c>
      <c r="G71" s="7" t="str">
        <f>CONCATENATE(D71," (01) - Waterfall Plot Blank.dat")</f>
        <v>TSD50614 4s (01) - Waterfall Plot Blank.dat</v>
      </c>
      <c r="H71" s="7" t="str">
        <f>CONCATENATE(D71," (01) - Abs Spectra Graphs.dat")</f>
        <v>TSD50614 4s (01) - Abs Spectra Graphs.dat</v>
      </c>
      <c r="I71" s="7">
        <v>1</v>
      </c>
      <c r="J71" s="10">
        <v>4</v>
      </c>
      <c r="K71" s="7">
        <v>3197</v>
      </c>
      <c r="L71" s="13">
        <v>0.66666666666666663</v>
      </c>
    </row>
    <row r="72" spans="1:12" x14ac:dyDescent="0.35">
      <c r="A72" s="22">
        <v>71</v>
      </c>
      <c r="B72" s="8" t="s">
        <v>315</v>
      </c>
      <c r="C72" t="s">
        <v>204</v>
      </c>
      <c r="D72" t="s">
        <v>66</v>
      </c>
      <c r="E72" s="7">
        <v>0.5</v>
      </c>
      <c r="F72" s="7" t="str">
        <f>CONCATENATE(D72," (01) - Waterfall Plot Sample.dat")</f>
        <v>TSH60612 4s (01) - Waterfall Plot Sample.dat</v>
      </c>
      <c r="G72" s="7" t="str">
        <f>CONCATENATE(D72," (01) - Waterfall Plot Blank.dat")</f>
        <v>TSH60612 4s (01) - Waterfall Plot Blank.dat</v>
      </c>
      <c r="H72" s="7" t="str">
        <f>CONCATENATE(D72," (01) - Abs Spectra Graphs.dat")</f>
        <v>TSH60612 4s (01) - Abs Spectra Graphs.dat</v>
      </c>
      <c r="I72" s="7">
        <v>1</v>
      </c>
      <c r="J72" s="10">
        <v>4</v>
      </c>
      <c r="K72" s="7">
        <v>3197</v>
      </c>
      <c r="L72" s="13">
        <v>1</v>
      </c>
    </row>
    <row r="73" spans="1:12" x14ac:dyDescent="0.35">
      <c r="A73" s="22">
        <v>72</v>
      </c>
      <c r="B73" s="8" t="s">
        <v>314</v>
      </c>
      <c r="C73" t="s">
        <v>205</v>
      </c>
      <c r="D73" t="s">
        <v>67</v>
      </c>
      <c r="E73" s="7">
        <v>0.5</v>
      </c>
      <c r="F73" s="7" t="str">
        <f>CONCATENATE(D73," (02) - Waterfall Plot Sample.dat")</f>
        <v>TSC30614 2s (02) - Waterfall Plot Sample.dat</v>
      </c>
      <c r="G73" s="7" t="str">
        <f>CONCATENATE(D73," (02) - Waterfall Plot Blank.dat")</f>
        <v>TSC30614 2s (02) - Waterfall Plot Blank.dat</v>
      </c>
      <c r="H73" s="7" t="str">
        <f>CONCATENATE(D73," (02) - Abs Spectra Graphs.dat")</f>
        <v>TSC30614 2s (02) - Abs Spectra Graphs.dat</v>
      </c>
      <c r="I73" s="7">
        <v>1</v>
      </c>
      <c r="J73" s="10">
        <v>2</v>
      </c>
      <c r="K73" s="7">
        <v>3267</v>
      </c>
      <c r="L73" s="13">
        <v>0.83333333333333337</v>
      </c>
    </row>
    <row r="74" spans="1:12" x14ac:dyDescent="0.35">
      <c r="A74" s="22">
        <v>73</v>
      </c>
      <c r="B74" s="8" t="s">
        <v>314</v>
      </c>
      <c r="C74" t="s">
        <v>206</v>
      </c>
      <c r="D74" t="s">
        <v>68</v>
      </c>
      <c r="E74" s="7">
        <v>0.5</v>
      </c>
      <c r="F74" s="7" t="str">
        <f>CONCATENATE(D74," (01) - Waterfall Plot Sample.dat")</f>
        <v>TFI50617 1s (01) - Waterfall Plot Sample.dat</v>
      </c>
      <c r="G74" s="7" t="str">
        <f>CONCATENATE(D74," (01) - Waterfall Plot Blank.dat")</f>
        <v>TFI50617 1s (01) - Waterfall Plot Blank.dat</v>
      </c>
      <c r="H74" s="7" t="str">
        <f>CONCATENATE(D74," (01) - Abs Spectra Graphs.dat")</f>
        <v>TFI50617 1s (01) - Abs Spectra Graphs.dat</v>
      </c>
      <c r="I74" s="7">
        <v>1</v>
      </c>
      <c r="J74" s="10">
        <v>1</v>
      </c>
      <c r="K74" s="7">
        <v>3267</v>
      </c>
      <c r="L74" s="13">
        <v>0.9</v>
      </c>
    </row>
    <row r="75" spans="1:12" x14ac:dyDescent="0.35">
      <c r="A75" s="22">
        <v>74</v>
      </c>
      <c r="B75" s="8" t="s">
        <v>314</v>
      </c>
      <c r="C75" t="s">
        <v>207</v>
      </c>
      <c r="D75" t="s">
        <v>69</v>
      </c>
      <c r="E75" s="7">
        <v>0.5</v>
      </c>
      <c r="F75" s="7" t="str">
        <f>CONCATENATE(D75," (01) - Waterfall Plot Sample.dat")</f>
        <v>TFI50614 1s (01) - Waterfall Plot Sample.dat</v>
      </c>
      <c r="G75" s="7" t="str">
        <f>CONCATENATE(D75," (01) - Waterfall Plot Blank.dat")</f>
        <v>TFI50614 1s (01) - Waterfall Plot Blank.dat</v>
      </c>
      <c r="H75" s="7" t="str">
        <f>CONCATENATE(D75," (01) - Abs Spectra Graphs.dat")</f>
        <v>TFI50614 1s (01) - Abs Spectra Graphs.dat</v>
      </c>
      <c r="I75" s="7">
        <v>1</v>
      </c>
      <c r="J75" s="10">
        <v>1</v>
      </c>
      <c r="K75" s="7">
        <v>3267</v>
      </c>
      <c r="L75" s="13">
        <v>1</v>
      </c>
    </row>
    <row r="76" spans="1:12" x14ac:dyDescent="0.35">
      <c r="A76" s="22">
        <v>75</v>
      </c>
      <c r="B76" s="8" t="s">
        <v>314</v>
      </c>
      <c r="C76" t="s">
        <v>208</v>
      </c>
      <c r="D76" t="s">
        <v>70</v>
      </c>
      <c r="E76" s="7">
        <v>0.5</v>
      </c>
      <c r="F76" s="7" t="str">
        <f>CONCATENATE(D76," (01) - Waterfall Plot Sample.dat")</f>
        <v>TSB40614 4s (01) - Waterfall Plot Sample.dat</v>
      </c>
      <c r="G76" s="7" t="str">
        <f>CONCATENATE(D76," (01) - Waterfall Plot Blank.dat")</f>
        <v>TSB40614 4s (01) - Waterfall Plot Blank.dat</v>
      </c>
      <c r="H76" s="7" t="str">
        <f>CONCATENATE(D76," (01) - Abs Spectra Graphs.dat")</f>
        <v>TSB40614 4s (01) - Abs Spectra Graphs.dat</v>
      </c>
      <c r="I76" s="7">
        <v>1</v>
      </c>
      <c r="J76" s="10">
        <v>4</v>
      </c>
      <c r="K76" s="7">
        <v>3267</v>
      </c>
      <c r="L76" s="13">
        <v>0.66666666666666663</v>
      </c>
    </row>
    <row r="77" spans="1:12" x14ac:dyDescent="0.35">
      <c r="A77" s="22">
        <v>76</v>
      </c>
      <c r="B77" s="8" t="s">
        <v>314</v>
      </c>
      <c r="C77" t="s">
        <v>209</v>
      </c>
      <c r="D77" t="s">
        <v>71</v>
      </c>
      <c r="E77" s="7">
        <v>0.5</v>
      </c>
      <c r="F77" s="7" t="str">
        <f>CONCATENATE(D77," (01) - Waterfall Plot Sample.dat")</f>
        <v>TFD50612 1s (01) - Waterfall Plot Sample.dat</v>
      </c>
      <c r="G77" s="7" t="str">
        <f>CONCATENATE(D77," (01) - Waterfall Plot Blank.dat")</f>
        <v>TFD50612 1s (01) - Waterfall Plot Blank.dat</v>
      </c>
      <c r="H77" s="7" t="str">
        <f>CONCATENATE(D77," (01) - Abs Spectra Graphs.dat")</f>
        <v>TFD50612 1s (01) - Abs Spectra Graphs.dat</v>
      </c>
      <c r="I77" s="7">
        <v>1</v>
      </c>
      <c r="J77" s="10">
        <v>1</v>
      </c>
      <c r="K77" s="7">
        <v>3267</v>
      </c>
      <c r="L77" s="13">
        <v>1</v>
      </c>
    </row>
    <row r="78" spans="1:12" x14ac:dyDescent="0.35">
      <c r="A78" s="22">
        <v>77</v>
      </c>
      <c r="B78" s="8" t="s">
        <v>314</v>
      </c>
      <c r="C78" t="s">
        <v>210</v>
      </c>
      <c r="D78" t="s">
        <v>292</v>
      </c>
      <c r="E78" s="7">
        <v>0.5</v>
      </c>
      <c r="F78" s="7" t="str">
        <f>CONCATENATE(D78," (01) - Waterfall Plot Sample.dat")</f>
        <v>TFI50612 1s (01) - Waterfall Plot Sample.dat</v>
      </c>
      <c r="G78" s="7" t="str">
        <f>CONCATENATE(D78," (01) - Waterfall Plot Blank.dat")</f>
        <v>TFI50612 1s (01) - Waterfall Plot Blank.dat</v>
      </c>
      <c r="H78" s="7" t="str">
        <f>CONCATENATE(D78," (01) - Abs Spectra Graphs.dat")</f>
        <v>TFI50612 1s (01) - Abs Spectra Graphs.dat</v>
      </c>
      <c r="I78" s="7">
        <v>1</v>
      </c>
      <c r="J78" s="10">
        <v>1</v>
      </c>
      <c r="K78" s="7">
        <v>3267</v>
      </c>
      <c r="L78" s="13">
        <v>0.70000000000000007</v>
      </c>
    </row>
    <row r="79" spans="1:12" x14ac:dyDescent="0.35">
      <c r="A79" s="22">
        <v>78</v>
      </c>
      <c r="B79" s="8" t="s">
        <v>314</v>
      </c>
      <c r="C79" t="s">
        <v>211</v>
      </c>
      <c r="D79" t="s">
        <v>72</v>
      </c>
      <c r="E79" s="7">
        <v>0.5</v>
      </c>
      <c r="F79" s="7" t="str">
        <f>CONCATENATE(D79," (01) - Waterfall Plot Sample.dat")</f>
        <v>TFC30608 1s (01) - Waterfall Plot Sample.dat</v>
      </c>
      <c r="G79" s="7" t="str">
        <f>CONCATENATE(D79," (01) - Waterfall Plot Blank.dat")</f>
        <v>TFC30608 1s (01) - Waterfall Plot Blank.dat</v>
      </c>
      <c r="H79" s="7" t="str">
        <f>CONCATENATE(D79," (01) - Abs Spectra Graphs.dat")</f>
        <v>TFC30608 1s (01) - Abs Spectra Graphs.dat</v>
      </c>
      <c r="I79" s="7">
        <v>1</v>
      </c>
      <c r="J79" s="10">
        <v>1</v>
      </c>
      <c r="K79" s="7">
        <v>3267</v>
      </c>
      <c r="L79" s="13">
        <v>1</v>
      </c>
    </row>
    <row r="80" spans="1:12" x14ac:dyDescent="0.35">
      <c r="A80" s="22">
        <v>79</v>
      </c>
      <c r="B80" s="8" t="s">
        <v>314</v>
      </c>
      <c r="C80" t="s">
        <v>212</v>
      </c>
      <c r="D80" t="s">
        <v>73</v>
      </c>
      <c r="E80" s="7">
        <v>0.5</v>
      </c>
      <c r="F80" s="7" t="str">
        <f>CONCATENATE(D80," (01) - Waterfall Plot Sample.dat")</f>
        <v>TSH60608 4s (01) - Waterfall Plot Sample.dat</v>
      </c>
      <c r="G80" s="7" t="str">
        <f>CONCATENATE(D80," (01) - Waterfall Plot Blank.dat")</f>
        <v>TSH60608 4s (01) - Waterfall Plot Blank.dat</v>
      </c>
      <c r="H80" s="7" t="str">
        <f>CONCATENATE(D80," (01) - Abs Spectra Graphs.dat")</f>
        <v>TSH60608 4s (01) - Abs Spectra Graphs.dat</v>
      </c>
      <c r="I80" s="7">
        <v>1</v>
      </c>
      <c r="J80" s="10">
        <v>4</v>
      </c>
      <c r="K80" s="7">
        <v>3267</v>
      </c>
      <c r="L80" s="13">
        <v>0.76666666666666661</v>
      </c>
    </row>
    <row r="81" spans="1:12" x14ac:dyDescent="0.35">
      <c r="A81" s="22">
        <v>80</v>
      </c>
      <c r="B81" s="8" t="s">
        <v>314</v>
      </c>
      <c r="C81" t="s">
        <v>213</v>
      </c>
      <c r="D81" t="s">
        <v>74</v>
      </c>
      <c r="E81" s="7">
        <v>0.5</v>
      </c>
      <c r="F81" s="7" t="str">
        <f>CONCATENATE(D81," (01) - Waterfall Plot Sample.dat")</f>
        <v>TSD50608 4s (01) - Waterfall Plot Sample.dat</v>
      </c>
      <c r="G81" s="7" t="str">
        <f>CONCATENATE(D81," (01) - Waterfall Plot Blank.dat")</f>
        <v>TSD50608 4s (01) - Waterfall Plot Blank.dat</v>
      </c>
      <c r="H81" s="7" t="str">
        <f>CONCATENATE(D81," (01) - Abs Spectra Graphs.dat")</f>
        <v>TSD50608 4s (01) - Abs Spectra Graphs.dat</v>
      </c>
      <c r="I81" s="7">
        <v>1</v>
      </c>
      <c r="J81" s="10">
        <v>4</v>
      </c>
      <c r="K81" s="7">
        <v>3267</v>
      </c>
      <c r="L81" s="13">
        <v>0.5714285714285714</v>
      </c>
    </row>
    <row r="82" spans="1:12" x14ac:dyDescent="0.35">
      <c r="A82" s="22">
        <v>81</v>
      </c>
      <c r="B82" s="8" t="s">
        <v>314</v>
      </c>
      <c r="C82" t="s">
        <v>214</v>
      </c>
      <c r="D82" t="s">
        <v>75</v>
      </c>
      <c r="E82" s="7">
        <v>0.5</v>
      </c>
      <c r="F82" s="7" t="str">
        <f>CONCATENATE(D82," (02) - Waterfall Plot Sample.dat")</f>
        <v>TSE30608 4s (02) - Waterfall Plot Sample.dat</v>
      </c>
      <c r="G82" s="7" t="str">
        <f>CONCATENATE(D82," (02) - Waterfall Plot Blank.dat")</f>
        <v>TSE30608 4s (02) - Waterfall Plot Blank.dat</v>
      </c>
      <c r="H82" s="7" t="str">
        <f>CONCATENATE(D82," (02) - Abs Spectra Graphs.dat")</f>
        <v>TSE30608 4s (02) - Abs Spectra Graphs.dat</v>
      </c>
      <c r="I82" s="7">
        <v>1</v>
      </c>
      <c r="J82" s="10">
        <v>4</v>
      </c>
      <c r="K82" s="7">
        <v>3267</v>
      </c>
      <c r="L82" s="13">
        <v>1</v>
      </c>
    </row>
    <row r="83" spans="1:12" x14ac:dyDescent="0.35">
      <c r="A83" s="22">
        <v>82</v>
      </c>
      <c r="B83" s="8" t="s">
        <v>314</v>
      </c>
      <c r="C83" t="s">
        <v>215</v>
      </c>
      <c r="D83" t="s">
        <v>76</v>
      </c>
      <c r="E83" s="7">
        <v>0.5</v>
      </c>
      <c r="F83" s="7" t="str">
        <f>CONCATENATE(D83," (01) - Waterfall Plot Sample.dat")</f>
        <v>TSC30608 2s (01) - Waterfall Plot Sample.dat</v>
      </c>
      <c r="G83" s="7" t="str">
        <f>CONCATENATE(D83," (01) - Waterfall Plot Blank.dat")</f>
        <v>TSC30608 2s (01) - Waterfall Plot Blank.dat</v>
      </c>
      <c r="H83" s="7" t="str">
        <f>CONCATENATE(D83," (01) - Abs Spectra Graphs.dat")</f>
        <v>TSC30608 2s (01) - Abs Spectra Graphs.dat</v>
      </c>
      <c r="I83" s="7">
        <v>1</v>
      </c>
      <c r="J83" s="10">
        <v>2</v>
      </c>
      <c r="K83" s="7">
        <v>3267</v>
      </c>
      <c r="L83" s="13">
        <v>1</v>
      </c>
    </row>
    <row r="84" spans="1:12" x14ac:dyDescent="0.35">
      <c r="A84" s="22">
        <v>83</v>
      </c>
      <c r="B84" s="8" t="s">
        <v>314</v>
      </c>
      <c r="C84" t="s">
        <v>216</v>
      </c>
      <c r="D84" t="s">
        <v>77</v>
      </c>
      <c r="E84" s="7">
        <v>0.5</v>
      </c>
      <c r="F84" s="7" t="str">
        <f>CONCATENATE(D84," (01) - Waterfall Plot Sample.dat")</f>
        <v>TFH60608 1s (01) - Waterfall Plot Sample.dat</v>
      </c>
      <c r="G84" s="7" t="str">
        <f>CONCATENATE(D84," (01) - Waterfall Plot Blank.dat")</f>
        <v>TFH60608 1s (01) - Waterfall Plot Blank.dat</v>
      </c>
      <c r="H84" s="7" t="str">
        <f>CONCATENATE(D84," (01) - Abs Spectra Graphs.dat")</f>
        <v>TFH60608 1s (01) - Abs Spectra Graphs.dat</v>
      </c>
      <c r="I84" s="7">
        <v>1</v>
      </c>
      <c r="J84" s="10">
        <v>1</v>
      </c>
      <c r="K84" s="7">
        <v>3267</v>
      </c>
      <c r="L84" s="13">
        <v>1</v>
      </c>
    </row>
    <row r="85" spans="1:12" x14ac:dyDescent="0.35">
      <c r="A85" s="22">
        <v>84</v>
      </c>
      <c r="B85" s="8" t="s">
        <v>314</v>
      </c>
      <c r="C85" t="s">
        <v>217</v>
      </c>
      <c r="D85" t="s">
        <v>78</v>
      </c>
      <c r="E85" s="7">
        <v>0.5</v>
      </c>
      <c r="F85" s="7" t="str">
        <f>CONCATENATE(D85," (01) - Waterfall Plot Sample.dat")</f>
        <v>TFI50608 1s (01) - Waterfall Plot Sample.dat</v>
      </c>
      <c r="G85" s="7" t="str">
        <f>CONCATENATE(D85," (01) - Waterfall Plot Blank.dat")</f>
        <v>TFI50608 1s (01) - Waterfall Plot Blank.dat</v>
      </c>
      <c r="H85" s="7" t="str">
        <f>CONCATENATE(D85," (01) - Abs Spectra Graphs.dat")</f>
        <v>TFI50608 1s (01) - Abs Spectra Graphs.dat</v>
      </c>
      <c r="I85" s="7">
        <v>1</v>
      </c>
      <c r="J85" s="10">
        <v>1</v>
      </c>
      <c r="K85" s="7">
        <v>3267</v>
      </c>
      <c r="L85" s="13">
        <v>1</v>
      </c>
    </row>
    <row r="86" spans="1:12" x14ac:dyDescent="0.35">
      <c r="A86" s="22">
        <v>85</v>
      </c>
      <c r="B86" s="8" t="s">
        <v>313</v>
      </c>
      <c r="C86" t="s">
        <v>218</v>
      </c>
      <c r="D86" t="s">
        <v>79</v>
      </c>
      <c r="E86" s="7">
        <v>0.5</v>
      </c>
      <c r="F86" s="7" t="str">
        <f>CONCATENATE(D86," (01) - Waterfall Plot Sample.dat")</f>
        <v>TFD50608 1s (01) - Waterfall Plot Sample.dat</v>
      </c>
      <c r="G86" s="7" t="str">
        <f>CONCATENATE(D86," (01) - Waterfall Plot Blank.dat")</f>
        <v>TFD50608 1s (01) - Waterfall Plot Blank.dat</v>
      </c>
      <c r="H86" s="7" t="str">
        <f>CONCATENATE(D86," (01) - Abs Spectra Graphs.dat")</f>
        <v>TFD50608 1s (01) - Abs Spectra Graphs.dat</v>
      </c>
      <c r="I86" s="7">
        <v>1</v>
      </c>
      <c r="J86" s="10">
        <v>1</v>
      </c>
      <c r="K86" s="7">
        <v>3256</v>
      </c>
      <c r="L86" s="13">
        <v>1</v>
      </c>
    </row>
    <row r="87" spans="1:12" x14ac:dyDescent="0.35">
      <c r="A87" s="22">
        <v>86</v>
      </c>
      <c r="B87" s="8" t="s">
        <v>313</v>
      </c>
      <c r="C87" t="s">
        <v>219</v>
      </c>
      <c r="D87" t="s">
        <v>80</v>
      </c>
      <c r="E87" s="7">
        <v>0.5</v>
      </c>
      <c r="F87" s="7" t="str">
        <f>CONCATENATE(D87," (01) - Waterfall Plot Sample.dat")</f>
        <v>TFF40608 1s (01) - Waterfall Plot Sample.dat</v>
      </c>
      <c r="G87" s="7" t="str">
        <f>CONCATENATE(D87," (01) - Waterfall Plot Blank.dat")</f>
        <v>TFF40608 1s (01) - Waterfall Plot Blank.dat</v>
      </c>
      <c r="H87" s="7" t="str">
        <f>CONCATENATE(D87," (01) - Abs Spectra Graphs.dat")</f>
        <v>TFF40608 1s (01) - Abs Spectra Graphs.dat</v>
      </c>
      <c r="I87" s="7">
        <v>1</v>
      </c>
      <c r="J87" s="10">
        <v>1</v>
      </c>
      <c r="K87" s="7">
        <v>3256</v>
      </c>
      <c r="L87" s="13">
        <v>1</v>
      </c>
    </row>
    <row r="88" spans="1:12" x14ac:dyDescent="0.35">
      <c r="A88" s="22">
        <v>87</v>
      </c>
      <c r="B88" s="8" t="s">
        <v>313</v>
      </c>
      <c r="C88" t="s">
        <v>220</v>
      </c>
      <c r="D88" t="s">
        <v>81</v>
      </c>
      <c r="E88" s="7">
        <v>0.5</v>
      </c>
      <c r="F88" s="7" t="str">
        <f>CONCATENATE(D88," (01) - Waterfall Plot Sample.dat")</f>
        <v>TSB40608 4s (01) - Waterfall Plot Sample.dat</v>
      </c>
      <c r="G88" s="7" t="str">
        <f>CONCATENATE(D88," (01) - Waterfall Plot Blank.dat")</f>
        <v>TSB40608 4s (01) - Waterfall Plot Blank.dat</v>
      </c>
      <c r="H88" s="7" t="str">
        <f>CONCATENATE(D88," (01) - Abs Spectra Graphs.dat")</f>
        <v>TSB40608 4s (01) - Abs Spectra Graphs.dat</v>
      </c>
      <c r="I88" s="7">
        <v>1</v>
      </c>
      <c r="J88" s="10">
        <v>4</v>
      </c>
      <c r="K88" s="7">
        <v>3256</v>
      </c>
      <c r="L88" s="13">
        <v>1</v>
      </c>
    </row>
    <row r="89" spans="1:12" x14ac:dyDescent="0.35">
      <c r="A89" s="22">
        <v>88</v>
      </c>
      <c r="B89" s="8" t="s">
        <v>313</v>
      </c>
      <c r="C89" t="s">
        <v>221</v>
      </c>
      <c r="D89" t="s">
        <v>82</v>
      </c>
      <c r="E89" s="7">
        <v>0.5</v>
      </c>
      <c r="F89" s="7" t="str">
        <f>CONCATENATE(D89," (01) - Waterfall Plot Sample.dat")</f>
        <v>TFC30606 2s (01) - Waterfall Plot Sample.dat</v>
      </c>
      <c r="G89" s="7" t="str">
        <f>CONCATENATE(D89," (01) - Waterfall Plot Blank.dat")</f>
        <v>TFC30606 2s (01) - Waterfall Plot Blank.dat</v>
      </c>
      <c r="H89" s="7" t="str">
        <f>CONCATENATE(D89," (01) - Abs Spectra Graphs.dat")</f>
        <v>TFC30606 2s (01) - Abs Spectra Graphs.dat</v>
      </c>
      <c r="I89" s="7">
        <v>1</v>
      </c>
      <c r="J89" s="10">
        <v>2</v>
      </c>
      <c r="K89" s="7">
        <v>3256</v>
      </c>
      <c r="L89" s="13">
        <v>0.82857142857142851</v>
      </c>
    </row>
    <row r="90" spans="1:12" x14ac:dyDescent="0.35">
      <c r="A90" s="22">
        <v>89</v>
      </c>
      <c r="B90" s="8" t="s">
        <v>313</v>
      </c>
      <c r="C90" t="s">
        <v>222</v>
      </c>
      <c r="D90" t="s">
        <v>83</v>
      </c>
      <c r="E90" s="7">
        <v>0.5</v>
      </c>
      <c r="F90" s="7" t="str">
        <f>CONCATENATE(D90," (01) - Waterfall Plot Sample.dat")</f>
        <v>TFC3671600 2s (01) - Waterfall Plot Sample.dat</v>
      </c>
      <c r="G90" s="7" t="str">
        <f>CONCATENATE(D90," (01) - Waterfall Plot Blank.dat")</f>
        <v>TFC3671600 2s (01) - Waterfall Plot Blank.dat</v>
      </c>
      <c r="H90" s="7" t="str">
        <f>CONCATENATE(D90," (01) - Abs Spectra Graphs.dat")</f>
        <v>TFC3671600 2s (01) - Abs Spectra Graphs.dat</v>
      </c>
      <c r="I90" s="7">
        <v>1</v>
      </c>
      <c r="J90" s="10">
        <v>2</v>
      </c>
      <c r="K90" s="7">
        <v>3256</v>
      </c>
      <c r="L90" s="13">
        <v>0.79999999999999993</v>
      </c>
    </row>
    <row r="91" spans="1:12" x14ac:dyDescent="0.35">
      <c r="A91" s="22">
        <v>90</v>
      </c>
      <c r="B91" s="8" t="s">
        <v>313</v>
      </c>
      <c r="C91" t="s">
        <v>223</v>
      </c>
      <c r="D91" t="s">
        <v>84</v>
      </c>
      <c r="E91" s="7">
        <v>0.5</v>
      </c>
      <c r="F91" s="7" t="str">
        <f>CONCATENATE(D91," (01) - Waterfall Plot Sample.dat")</f>
        <v>TFC367800 2s (01) - Waterfall Plot Sample.dat</v>
      </c>
      <c r="G91" s="7" t="str">
        <f>CONCATENATE(D91," (01) - Waterfall Plot Blank.dat")</f>
        <v>TFC367800 2s (01) - Waterfall Plot Blank.dat</v>
      </c>
      <c r="H91" s="7" t="str">
        <f>CONCATENATE(D91," (01) - Abs Spectra Graphs.dat")</f>
        <v>TFC367800 2s (01) - Abs Spectra Graphs.dat</v>
      </c>
      <c r="I91" s="7">
        <v>1</v>
      </c>
      <c r="J91" s="10">
        <v>2</v>
      </c>
      <c r="K91" s="7">
        <v>3256</v>
      </c>
      <c r="L91" s="13">
        <v>0.79999999999999993</v>
      </c>
    </row>
    <row r="92" spans="1:12" x14ac:dyDescent="0.35">
      <c r="A92" s="22">
        <v>91</v>
      </c>
      <c r="B92" s="8" t="s">
        <v>312</v>
      </c>
      <c r="C92" t="s">
        <v>224</v>
      </c>
      <c r="D92" t="s">
        <v>85</v>
      </c>
      <c r="E92" s="7">
        <v>0.5</v>
      </c>
      <c r="F92" s="7" t="str">
        <f>CONCATENATE(D92," (01) - Waterfall Plot Sample.dat")</f>
        <v>TFS670611 6s (01) - Waterfall Plot Sample.dat</v>
      </c>
      <c r="G92" s="7" t="str">
        <f>CONCATENATE(D92," (01) - Waterfall Plot Blank.dat")</f>
        <v>TFS670611 6s (01) - Waterfall Plot Blank.dat</v>
      </c>
      <c r="H92" s="7" t="str">
        <f>CONCATENATE(D92," (01) - Abs Spectra Graphs.dat")</f>
        <v>TFS670611 6s (01) - Abs Spectra Graphs.dat</v>
      </c>
      <c r="I92" s="7">
        <v>1</v>
      </c>
      <c r="J92" s="10">
        <v>6</v>
      </c>
      <c r="K92" s="7">
        <v>3224</v>
      </c>
      <c r="L92" s="13">
        <v>1</v>
      </c>
    </row>
    <row r="93" spans="1:12" x14ac:dyDescent="0.35">
      <c r="A93" s="22">
        <v>92</v>
      </c>
      <c r="B93" s="8" t="s">
        <v>312</v>
      </c>
      <c r="C93" t="s">
        <v>225</v>
      </c>
      <c r="D93" t="s">
        <v>86</v>
      </c>
      <c r="E93" s="7">
        <v>0.5</v>
      </c>
      <c r="F93" s="7" t="str">
        <f>CONCATENATE(D93," (01) - Waterfall Plot Sample.dat")</f>
        <v>TFS661511 6s (01) - Waterfall Plot Sample.dat</v>
      </c>
      <c r="G93" s="7" t="str">
        <f>CONCATENATE(D93," (01) - Waterfall Plot Blank.dat")</f>
        <v>TFS661511 6s (01) - Waterfall Plot Blank.dat</v>
      </c>
      <c r="H93" s="7" t="str">
        <f>CONCATENATE(D93," (01) - Abs Spectra Graphs.dat")</f>
        <v>TFS661511 6s (01) - Abs Spectra Graphs.dat</v>
      </c>
      <c r="I93" s="7">
        <v>1</v>
      </c>
      <c r="J93" s="10">
        <v>6</v>
      </c>
      <c r="K93" s="7">
        <v>3224</v>
      </c>
      <c r="L93" s="13">
        <v>1</v>
      </c>
    </row>
    <row r="94" spans="1:12" x14ac:dyDescent="0.35">
      <c r="A94" s="22">
        <v>93</v>
      </c>
      <c r="B94" s="8" t="s">
        <v>312</v>
      </c>
      <c r="C94" t="s">
        <v>226</v>
      </c>
      <c r="D94" t="s">
        <v>87</v>
      </c>
      <c r="E94" s="7">
        <v>0.5</v>
      </c>
      <c r="F94" s="7" t="str">
        <f>CONCATENATE(D94," (01) - Waterfall Plot Sample.dat")</f>
        <v>TFB466 4s (01) - Waterfall Plot Sample.dat</v>
      </c>
      <c r="G94" s="7" t="str">
        <f>CONCATENATE(D94," (01) - Waterfall Plot Blank.dat")</f>
        <v>TFB466 4s (01) - Waterfall Plot Blank.dat</v>
      </c>
      <c r="H94" s="7" t="str">
        <f>CONCATENATE(D94," (01) - Abs Spectra Graphs.dat")</f>
        <v>TFB466 4s (01) - Abs Spectra Graphs.dat</v>
      </c>
      <c r="I94" s="7">
        <v>1</v>
      </c>
      <c r="J94" s="10">
        <v>4</v>
      </c>
      <c r="K94" s="7">
        <v>3224</v>
      </c>
      <c r="L94" s="13">
        <v>0.42857142857142855</v>
      </c>
    </row>
    <row r="95" spans="1:12" x14ac:dyDescent="0.35">
      <c r="A95" s="22">
        <v>94</v>
      </c>
      <c r="B95" s="8" t="s">
        <v>312</v>
      </c>
      <c r="C95" t="s">
        <v>227</v>
      </c>
      <c r="D95" t="s">
        <v>88</v>
      </c>
      <c r="E95" s="7">
        <v>0.5</v>
      </c>
      <c r="F95" s="7" t="str">
        <f>CONCATENATE(D95," (01) - Waterfall Plot Sample.dat")</f>
        <v>TFB4671600 2s (01) - Waterfall Plot Sample.dat</v>
      </c>
      <c r="G95" s="7" t="str">
        <f>CONCATENATE(D95," (01) - Waterfall Plot Blank.dat")</f>
        <v>TFB4671600 2s (01) - Waterfall Plot Blank.dat</v>
      </c>
      <c r="H95" s="7" t="str">
        <f>CONCATENATE(D95," (01) - Abs Spectra Graphs.dat")</f>
        <v>TFB4671600 2s (01) - Abs Spectra Graphs.dat</v>
      </c>
      <c r="I95" s="7">
        <v>1</v>
      </c>
      <c r="J95" s="10">
        <v>2</v>
      </c>
      <c r="K95" s="7">
        <v>3224</v>
      </c>
      <c r="L95" s="13">
        <v>0.56666666666666665</v>
      </c>
    </row>
    <row r="96" spans="1:12" x14ac:dyDescent="0.35">
      <c r="A96" s="22">
        <v>95</v>
      </c>
      <c r="B96" s="8" t="s">
        <v>312</v>
      </c>
      <c r="C96" t="s">
        <v>228</v>
      </c>
      <c r="D96" t="s">
        <v>89</v>
      </c>
      <c r="E96" s="7">
        <v>0.5</v>
      </c>
      <c r="F96" s="7" t="str">
        <f>CONCATENATE(D96," (01) - Waterfall Plot Sample.dat")</f>
        <v>TFH6671600 1s (01) - Waterfall Plot Sample.dat</v>
      </c>
      <c r="G96" s="7" t="str">
        <f>CONCATENATE(D96," (01) - Waterfall Plot Blank.dat")</f>
        <v>TFH6671600 1s (01) - Waterfall Plot Blank.dat</v>
      </c>
      <c r="H96" s="7" t="str">
        <f>CONCATENATE(D96," (01) - Abs Spectra Graphs.dat")</f>
        <v>TFH6671600 1s (01) - Abs Spectra Graphs.dat</v>
      </c>
      <c r="I96" s="7">
        <v>1</v>
      </c>
      <c r="J96" s="10">
        <v>1</v>
      </c>
      <c r="K96" s="7">
        <v>3224</v>
      </c>
      <c r="L96" s="13">
        <v>0.79999999999999993</v>
      </c>
    </row>
    <row r="97" spans="1:12" x14ac:dyDescent="0.35">
      <c r="A97" s="22">
        <v>96</v>
      </c>
      <c r="B97" s="8" t="s">
        <v>312</v>
      </c>
      <c r="C97" t="s">
        <v>229</v>
      </c>
      <c r="D97" t="s">
        <v>90</v>
      </c>
      <c r="E97" s="7">
        <v>0.5</v>
      </c>
      <c r="F97" s="7" t="str">
        <f>CONCATENATE(D97," (01) - Waterfall Plot Sample.dat")</f>
        <v>TFH667800 1s (01) - Waterfall Plot Sample.dat</v>
      </c>
      <c r="G97" s="7" t="str">
        <f>CONCATENATE(D97," (01) - Waterfall Plot Blank.dat")</f>
        <v>TFH667800 1s (01) - Waterfall Plot Blank.dat</v>
      </c>
      <c r="H97" s="7" t="str">
        <f>CONCATENATE(D97," (01) - Abs Spectra Graphs.dat")</f>
        <v>TFH667800 1s (01) - Abs Spectra Graphs.dat</v>
      </c>
      <c r="I97" s="7">
        <v>1</v>
      </c>
      <c r="J97" s="10">
        <v>1</v>
      </c>
      <c r="K97" s="7">
        <v>3224</v>
      </c>
      <c r="L97" s="13">
        <v>1</v>
      </c>
    </row>
    <row r="98" spans="1:12" x14ac:dyDescent="0.35">
      <c r="A98" s="22">
        <v>97</v>
      </c>
      <c r="B98" s="8" t="s">
        <v>312</v>
      </c>
      <c r="C98" t="s">
        <v>230</v>
      </c>
      <c r="D98" t="s">
        <v>91</v>
      </c>
      <c r="E98" s="7">
        <v>0.5</v>
      </c>
      <c r="F98" s="7" t="str">
        <f>CONCATENATE(D98," (01) - Waterfall Plot Sample.dat")</f>
        <v>TSI5671600 1s (01) - Waterfall Plot Sample.dat</v>
      </c>
      <c r="G98" s="7" t="str">
        <f>CONCATENATE(D98," (01) - Waterfall Plot Blank.dat")</f>
        <v>TSI5671600 1s (01) - Waterfall Plot Blank.dat</v>
      </c>
      <c r="H98" s="7" t="str">
        <f>CONCATENATE(D98," (01) - Abs Spectra Graphs.dat")</f>
        <v>TSI5671600 1s (01) - Abs Spectra Graphs.dat</v>
      </c>
      <c r="I98" s="7">
        <v>1</v>
      </c>
      <c r="J98" s="10">
        <v>1</v>
      </c>
      <c r="K98" s="7">
        <v>3224</v>
      </c>
      <c r="L98" s="13">
        <v>0.79999999999999993</v>
      </c>
    </row>
    <row r="99" spans="1:12" x14ac:dyDescent="0.35">
      <c r="A99" s="22">
        <v>98</v>
      </c>
      <c r="B99" s="8" t="s">
        <v>312</v>
      </c>
      <c r="C99" t="s">
        <v>231</v>
      </c>
      <c r="D99" t="s">
        <v>92</v>
      </c>
      <c r="E99" s="7">
        <v>0.5</v>
      </c>
      <c r="F99" s="7" t="str">
        <f>CONCATENATE(D99," (01) - Waterfall Plot Sample.dat")</f>
        <v>TSE30606 4s (01) - Waterfall Plot Sample.dat</v>
      </c>
      <c r="G99" s="7" t="str">
        <f>CONCATENATE(D99," (01) - Waterfall Plot Blank.dat")</f>
        <v>TSE30606 4s (01) - Waterfall Plot Blank.dat</v>
      </c>
      <c r="H99" s="7" t="str">
        <f>CONCATENATE(D99," (01) - Abs Spectra Graphs.dat")</f>
        <v>TSE30606 4s (01) - Abs Spectra Graphs.dat</v>
      </c>
      <c r="I99" s="7">
        <v>1</v>
      </c>
      <c r="J99" s="10">
        <v>4</v>
      </c>
      <c r="K99" s="7">
        <v>3224</v>
      </c>
      <c r="L99" s="13">
        <v>1</v>
      </c>
    </row>
    <row r="100" spans="1:12" x14ac:dyDescent="0.35">
      <c r="A100" s="22">
        <v>99</v>
      </c>
      <c r="B100" s="8" t="s">
        <v>312</v>
      </c>
      <c r="C100" t="s">
        <v>232</v>
      </c>
      <c r="D100" t="s">
        <v>93</v>
      </c>
      <c r="E100" s="7">
        <v>0.5</v>
      </c>
      <c r="F100" s="7" t="str">
        <f>CONCATENATE(D100," (01) - Waterfall Plot Sample.dat")</f>
        <v>TFS671300 6s (01) - Waterfall Plot Sample.dat</v>
      </c>
      <c r="G100" s="7" t="str">
        <f>CONCATENATE(D100," (01) - Waterfall Plot Blank.dat")</f>
        <v>TFS671300 6s (01) - Waterfall Plot Blank.dat</v>
      </c>
      <c r="H100" s="7" t="str">
        <f>CONCATENATE(D100," (01) - Abs Spectra Graphs.dat")</f>
        <v>TFS671300 6s (01) - Abs Spectra Graphs.dat</v>
      </c>
      <c r="I100" s="7">
        <v>1</v>
      </c>
      <c r="J100" s="10">
        <v>6</v>
      </c>
      <c r="K100" s="7">
        <v>3224</v>
      </c>
      <c r="L100" s="13">
        <v>1</v>
      </c>
    </row>
    <row r="101" spans="1:12" x14ac:dyDescent="0.35">
      <c r="A101" s="22">
        <v>100</v>
      </c>
      <c r="B101" s="8" t="s">
        <v>312</v>
      </c>
      <c r="C101" t="s">
        <v>233</v>
      </c>
      <c r="D101" t="s">
        <v>94</v>
      </c>
      <c r="E101" s="7">
        <v>0.5</v>
      </c>
      <c r="F101" s="7" t="str">
        <f>CONCATENATE(D101," (02) - Waterfall Plot Sample.dat")</f>
        <v>TFS660718 6s (02) - Waterfall Plot Sample.dat</v>
      </c>
      <c r="G101" s="7" t="str">
        <f>CONCATENATE(D101," (02) - Waterfall Plot Blank.dat")</f>
        <v>TFS660718 6s (02) - Waterfall Plot Blank.dat</v>
      </c>
      <c r="H101" s="7" t="str">
        <f>CONCATENATE(D101," (02) - Abs Spectra Graphs.dat")</f>
        <v>TFS660718 6s (02) - Abs Spectra Graphs.dat</v>
      </c>
      <c r="I101" s="7">
        <v>1</v>
      </c>
      <c r="J101" s="10">
        <v>6</v>
      </c>
      <c r="K101" s="7">
        <v>3224</v>
      </c>
      <c r="L101" s="13">
        <v>1</v>
      </c>
    </row>
    <row r="102" spans="1:12" x14ac:dyDescent="0.35">
      <c r="A102" s="22">
        <v>101</v>
      </c>
      <c r="B102" s="8" t="s">
        <v>362</v>
      </c>
      <c r="C102" t="s">
        <v>234</v>
      </c>
      <c r="D102" t="s">
        <v>95</v>
      </c>
      <c r="E102" s="7">
        <v>0.5</v>
      </c>
      <c r="F102" s="7" t="str">
        <f>CONCATENATE(D102," (01) - Waterfall Plot Sample.dat")</f>
        <v>TSB4671600 4s (01) - Waterfall Plot Sample.dat</v>
      </c>
      <c r="G102" s="7" t="str">
        <f>CONCATENATE(D102," (01) - Waterfall Plot Blank.dat")</f>
        <v>TSB4671600 4s (01) - Waterfall Plot Blank.dat</v>
      </c>
      <c r="H102" s="7" t="str">
        <f>CONCATENATE(D102," (01) - Abs Spectra Graphs.dat")</f>
        <v>TSB4671600 4s (01) - Abs Spectra Graphs.dat</v>
      </c>
      <c r="I102" s="7">
        <v>1</v>
      </c>
      <c r="J102" s="10">
        <v>4</v>
      </c>
      <c r="K102" s="7">
        <v>3260</v>
      </c>
      <c r="L102" s="13">
        <v>1</v>
      </c>
    </row>
    <row r="103" spans="1:12" x14ac:dyDescent="0.35">
      <c r="A103" s="22">
        <v>102</v>
      </c>
      <c r="B103" s="8" t="s">
        <v>362</v>
      </c>
      <c r="C103" t="s">
        <v>235</v>
      </c>
      <c r="D103" t="s">
        <v>96</v>
      </c>
      <c r="E103" s="7">
        <v>0.5</v>
      </c>
      <c r="F103" s="7" t="str">
        <f>CONCATENATE(D103," (01) - Waterfall Plot Sample.dat")</f>
        <v>TSEs661524 2s (01) - Waterfall Plot Sample.dat</v>
      </c>
      <c r="G103" s="7" t="str">
        <f>CONCATENATE(D103," (01) - Waterfall Plot Blank.dat")</f>
        <v>TSEs661524 2s (01) - Waterfall Plot Blank.dat</v>
      </c>
      <c r="H103" s="7" t="str">
        <f>CONCATENATE(D103," (01) - Abs Spectra Graphs.dat")</f>
        <v>TSEs661524 2s (01) - Abs Spectra Graphs.dat</v>
      </c>
      <c r="I103" s="7">
        <v>1</v>
      </c>
      <c r="J103" s="10">
        <v>2</v>
      </c>
      <c r="K103" s="7">
        <v>3260</v>
      </c>
      <c r="L103" s="13">
        <v>1</v>
      </c>
    </row>
    <row r="104" spans="1:12" x14ac:dyDescent="0.35">
      <c r="A104" s="22">
        <v>103</v>
      </c>
      <c r="B104" s="8" t="s">
        <v>311</v>
      </c>
      <c r="C104" t="s">
        <v>236</v>
      </c>
      <c r="D104" t="s">
        <v>97</v>
      </c>
      <c r="E104" s="7">
        <v>0.5</v>
      </c>
      <c r="F104" s="7" t="str">
        <f>CONCATENATE(D104," (01) - Waterfall Plot Sample.dat")</f>
        <v>TSE3671600 4s (01) - Waterfall Plot Sample.dat</v>
      </c>
      <c r="G104" s="7" t="str">
        <f>CONCATENATE(D104," (01) - Waterfall Plot Blank.dat")</f>
        <v>TSE3671600 4s (01) - Waterfall Plot Blank.dat</v>
      </c>
      <c r="H104" s="7" t="str">
        <f>CONCATENATE(D104," (01) - Abs Spectra Graphs.dat")</f>
        <v>TSE3671600 4s (01) - Abs Spectra Graphs.dat</v>
      </c>
      <c r="I104" s="7">
        <v>1</v>
      </c>
      <c r="J104" s="10">
        <v>4</v>
      </c>
      <c r="K104" s="7">
        <v>3268</v>
      </c>
      <c r="L104" s="13">
        <v>1</v>
      </c>
    </row>
    <row r="105" spans="1:12" x14ac:dyDescent="0.35">
      <c r="A105" s="22">
        <v>104</v>
      </c>
      <c r="B105" s="8" t="s">
        <v>311</v>
      </c>
      <c r="C105" t="s">
        <v>237</v>
      </c>
      <c r="D105" t="s">
        <v>98</v>
      </c>
      <c r="E105" s="7">
        <v>0.5</v>
      </c>
      <c r="F105" s="7" t="str">
        <f>CONCATENATE(D105," (01) - Waterfall Plot Sample.dat")</f>
        <v>TSEs671700 2s (01) - Waterfall Plot Sample.dat</v>
      </c>
      <c r="G105" s="7" t="str">
        <f>CONCATENATE(D105," (01) - Waterfall Plot Blank.dat")</f>
        <v>TSEs671700 2s (01) - Waterfall Plot Blank.dat</v>
      </c>
      <c r="H105" s="7" t="str">
        <f>CONCATENATE(D105," (01) - Abs Spectra Graphs.dat")</f>
        <v>TSEs671700 2s (01) - Abs Spectra Graphs.dat</v>
      </c>
      <c r="I105" s="7">
        <v>1</v>
      </c>
      <c r="J105" s="10">
        <v>2</v>
      </c>
      <c r="K105" s="7">
        <v>3268</v>
      </c>
      <c r="L105" s="13">
        <v>1</v>
      </c>
    </row>
    <row r="106" spans="1:12" x14ac:dyDescent="0.35">
      <c r="A106" s="22">
        <v>105</v>
      </c>
      <c r="B106" s="8" t="s">
        <v>311</v>
      </c>
      <c r="C106" t="s">
        <v>238</v>
      </c>
      <c r="D106" t="s">
        <v>99</v>
      </c>
      <c r="E106" s="7">
        <v>0.5</v>
      </c>
      <c r="F106" s="7" t="str">
        <f>CONCATENATE(D106," (01) - Waterfall Plot Sample.dat")</f>
        <v>TSEs67710 2s (01) - Waterfall Plot Sample.dat</v>
      </c>
      <c r="G106" s="7" t="str">
        <f>CONCATENATE(D106," (01) - Waterfall Plot Blank.dat")</f>
        <v>TSEs67710 2s (01) - Waterfall Plot Blank.dat</v>
      </c>
      <c r="H106" s="7" t="str">
        <f>CONCATENATE(D106," (01) - Abs Spectra Graphs.dat")</f>
        <v>TSEs67710 2s (01) - Abs Spectra Graphs.dat</v>
      </c>
      <c r="I106" s="7">
        <v>1</v>
      </c>
      <c r="J106" s="10">
        <v>2</v>
      </c>
      <c r="K106" s="7">
        <v>3268</v>
      </c>
      <c r="L106" s="13">
        <v>1</v>
      </c>
    </row>
    <row r="107" spans="1:12" x14ac:dyDescent="0.35">
      <c r="A107" s="22">
        <v>106</v>
      </c>
      <c r="B107" s="8" t="s">
        <v>311</v>
      </c>
      <c r="C107" t="s">
        <v>239</v>
      </c>
      <c r="D107" t="s">
        <v>100</v>
      </c>
      <c r="E107" s="7">
        <v>0.5</v>
      </c>
      <c r="F107" s="7" t="str">
        <f>CONCATENATE(D107," (01) - Waterfall Plot Sample.dat")</f>
        <v>TFI5671600 2s (01) - Waterfall Plot Sample.dat</v>
      </c>
      <c r="G107" s="7" t="str">
        <f>CONCATENATE(D107," (01) - Waterfall Plot Blank.dat")</f>
        <v>TFI5671600 2s (01) - Waterfall Plot Blank.dat</v>
      </c>
      <c r="H107" s="7" t="str">
        <f>CONCATENATE(D107," (01) - Abs Spectra Graphs.dat")</f>
        <v>TFI5671600 2s (01) - Abs Spectra Graphs.dat</v>
      </c>
      <c r="I107" s="7">
        <v>1</v>
      </c>
      <c r="J107" s="10">
        <v>2</v>
      </c>
      <c r="K107" s="7">
        <v>3268</v>
      </c>
      <c r="L107" s="13">
        <v>0.66666666666666663</v>
      </c>
    </row>
    <row r="108" spans="1:12" x14ac:dyDescent="0.35">
      <c r="A108" s="22">
        <v>107</v>
      </c>
      <c r="B108" s="8" t="s">
        <v>311</v>
      </c>
      <c r="C108" t="s">
        <v>240</v>
      </c>
      <c r="D108" t="s">
        <v>101</v>
      </c>
      <c r="E108" s="7">
        <v>0.5</v>
      </c>
      <c r="F108" s="7" t="str">
        <f>CONCATENATE(D108," (01) - Waterfall Plot Sample.dat")</f>
        <v>TSD5671600 4s (01) - Waterfall Plot Sample.dat</v>
      </c>
      <c r="G108" s="7" t="str">
        <f>CONCATENATE(D108," (01) - Waterfall Plot Blank.dat")</f>
        <v>TSD5671600 4s (01) - Waterfall Plot Blank.dat</v>
      </c>
      <c r="H108" s="7" t="str">
        <f>CONCATENATE(D108," (01) - Abs Spectra Graphs.dat")</f>
        <v>TSD5671600 4s (01) - Abs Spectra Graphs.dat</v>
      </c>
      <c r="I108" s="7">
        <v>1</v>
      </c>
      <c r="J108" s="10">
        <v>4</v>
      </c>
      <c r="K108" s="7">
        <v>3268</v>
      </c>
      <c r="L108" s="13">
        <v>0.66666666666666663</v>
      </c>
    </row>
    <row r="109" spans="1:12" x14ac:dyDescent="0.35">
      <c r="A109" s="22">
        <v>108</v>
      </c>
      <c r="B109" s="8" t="s">
        <v>311</v>
      </c>
      <c r="C109" t="s">
        <v>241</v>
      </c>
      <c r="D109" t="s">
        <v>102</v>
      </c>
      <c r="E109" s="7">
        <v>0.5</v>
      </c>
      <c r="F109" s="7" t="str">
        <f>CONCATENATE(D109," (01) - Waterfall Plot Sample.dat")</f>
        <v>TSS671515 2s (01) - Waterfall Plot Sample.dat</v>
      </c>
      <c r="G109" s="7" t="str">
        <f>CONCATENATE(D109," (01) - Waterfall Plot Blank.dat")</f>
        <v>TSS671515 2s (01) - Waterfall Plot Blank.dat</v>
      </c>
      <c r="H109" s="7" t="str">
        <f>CONCATENATE(D109," (01) - Abs Spectra Graphs.dat")</f>
        <v>TSS671515 2s (01) - Abs Spectra Graphs.dat</v>
      </c>
      <c r="I109" s="7">
        <v>1</v>
      </c>
      <c r="J109" s="10">
        <v>2</v>
      </c>
      <c r="K109" s="7">
        <v>3268</v>
      </c>
      <c r="L109" s="13">
        <v>1</v>
      </c>
    </row>
    <row r="110" spans="1:12" x14ac:dyDescent="0.35">
      <c r="A110" s="22">
        <v>109</v>
      </c>
      <c r="B110" s="8" t="s">
        <v>311</v>
      </c>
      <c r="C110" t="s">
        <v>242</v>
      </c>
      <c r="D110" t="s">
        <v>103</v>
      </c>
      <c r="E110" s="7">
        <v>0.5</v>
      </c>
      <c r="F110" s="7" t="str">
        <f>CONCATENATE(D110," (01) - Waterfall Plot Sample.dat")</f>
        <v>TSS661301 2s (01) - Waterfall Plot Sample.dat</v>
      </c>
      <c r="G110" s="7" t="str">
        <f>CONCATENATE(D110," (01) - Waterfall Plot Blank.dat")</f>
        <v>TSS661301 2s (01) - Waterfall Plot Blank.dat</v>
      </c>
      <c r="H110" s="7" t="str">
        <f>CONCATENATE(D110," (01) - Abs Spectra Graphs.dat")</f>
        <v>TSS661301 2s (01) - Abs Spectra Graphs.dat</v>
      </c>
      <c r="I110" s="7">
        <v>1</v>
      </c>
      <c r="J110" s="10">
        <v>2</v>
      </c>
      <c r="K110" s="7">
        <v>3268</v>
      </c>
      <c r="L110" s="13">
        <v>1</v>
      </c>
    </row>
    <row r="111" spans="1:12" x14ac:dyDescent="0.35">
      <c r="A111" s="22">
        <v>110</v>
      </c>
      <c r="B111" s="8" t="s">
        <v>311</v>
      </c>
      <c r="C111" t="s">
        <v>243</v>
      </c>
      <c r="D111" t="s">
        <v>104</v>
      </c>
      <c r="E111" s="7">
        <v>0.5</v>
      </c>
      <c r="F111" s="7" t="str">
        <f>CONCATENATE(D111," (01) - Waterfall Plot Sample.dat")</f>
        <v>TFD5671600 1s (01) - Waterfall Plot Sample.dat</v>
      </c>
      <c r="G111" s="7" t="str">
        <f>CONCATENATE(D111," (01) - Waterfall Plot Blank.dat")</f>
        <v>TFD5671600 1s (01) - Waterfall Plot Blank.dat</v>
      </c>
      <c r="H111" s="7" t="str">
        <f>CONCATENATE(D111," (01) - Abs Spectra Graphs.dat")</f>
        <v>TFD5671600 1s (01) - Abs Spectra Graphs.dat</v>
      </c>
      <c r="I111" s="7">
        <v>1</v>
      </c>
      <c r="J111" s="10">
        <v>1</v>
      </c>
      <c r="K111" s="7">
        <v>3268</v>
      </c>
      <c r="L111" s="13">
        <v>1</v>
      </c>
    </row>
    <row r="112" spans="1:12" x14ac:dyDescent="0.35">
      <c r="A112" s="22">
        <v>111</v>
      </c>
      <c r="B112" s="8" t="s">
        <v>311</v>
      </c>
      <c r="C112" t="s">
        <v>244</v>
      </c>
      <c r="D112" t="s">
        <v>105</v>
      </c>
      <c r="E112" s="7">
        <v>0.5</v>
      </c>
      <c r="F112" s="7" t="str">
        <f>CONCATENATE(D112," (01) - Waterfall Plot Sample.dat")</f>
        <v>TSD567800 4s (01) - Waterfall Plot Sample.dat</v>
      </c>
      <c r="G112" s="7" t="str">
        <f>CONCATENATE(D112," (01) - Waterfall Plot Blank.dat")</f>
        <v>TSD567800 4s (01) - Waterfall Plot Blank.dat</v>
      </c>
      <c r="H112" s="7" t="str">
        <f>CONCATENATE(D112," (01) - Abs Spectra Graphs.dat")</f>
        <v>TSD567800 4s (01) - Abs Spectra Graphs.dat</v>
      </c>
      <c r="I112" s="7">
        <v>1</v>
      </c>
      <c r="J112" s="10">
        <v>4</v>
      </c>
      <c r="K112" s="7">
        <v>3268</v>
      </c>
      <c r="L112" s="13">
        <v>0.66666666666666663</v>
      </c>
    </row>
    <row r="113" spans="1:12" x14ac:dyDescent="0.35">
      <c r="A113" s="22">
        <v>112</v>
      </c>
      <c r="B113" s="8" t="s">
        <v>311</v>
      </c>
      <c r="C113" t="s">
        <v>245</v>
      </c>
      <c r="D113" t="s">
        <v>106</v>
      </c>
      <c r="E113" s="7">
        <v>0.5</v>
      </c>
      <c r="F113" s="7" t="str">
        <f>CONCATENATE(D113," (01) - Waterfall Plot Sample.dat")</f>
        <v>TSC3671600 2s (01) - Waterfall Plot Sample.dat</v>
      </c>
      <c r="G113" s="7" t="str">
        <f>CONCATENATE(D113," (01) - Waterfall Plot Blank.dat")</f>
        <v>TSC3671600 2s (01) - Waterfall Plot Blank.dat</v>
      </c>
      <c r="H113" s="7" t="str">
        <f>CONCATENATE(D113," (01) - Abs Spectra Graphs.dat")</f>
        <v>TSC3671600 2s (01) - Abs Spectra Graphs.dat</v>
      </c>
      <c r="I113" s="7">
        <v>1</v>
      </c>
      <c r="J113" s="10">
        <v>2</v>
      </c>
      <c r="K113" s="7">
        <v>3268</v>
      </c>
      <c r="L113" s="13">
        <v>0.66666666666666663</v>
      </c>
    </row>
    <row r="114" spans="1:12" x14ac:dyDescent="0.35">
      <c r="A114" s="22">
        <v>113</v>
      </c>
      <c r="B114" s="8" t="s">
        <v>311</v>
      </c>
      <c r="C114" t="s">
        <v>246</v>
      </c>
      <c r="D114" t="s">
        <v>107</v>
      </c>
      <c r="E114" s="7">
        <v>0.5</v>
      </c>
      <c r="F114" s="7" t="str">
        <f>CONCATENATE(D114," (01) - Waterfall Plot Sample.dat")</f>
        <v>TSS67621 2s (01) - Waterfall Plot Sample.dat</v>
      </c>
      <c r="G114" s="7" t="str">
        <f>CONCATENATE(D114," (01) - Waterfall Plot Blank.dat")</f>
        <v>TSS67621 2s (01) - Waterfall Plot Blank.dat</v>
      </c>
      <c r="H114" s="7" t="str">
        <f>CONCATENATE(D114," (01) - Abs Spectra Graphs.dat")</f>
        <v>TSS67621 2s (01) - Abs Spectra Graphs.dat</v>
      </c>
      <c r="I114" s="7">
        <v>1</v>
      </c>
      <c r="J114" s="10">
        <v>2</v>
      </c>
      <c r="K114" s="7">
        <v>3268</v>
      </c>
      <c r="L114" s="13">
        <v>1</v>
      </c>
    </row>
    <row r="115" spans="1:12" x14ac:dyDescent="0.35">
      <c r="A115" s="22">
        <v>114</v>
      </c>
      <c r="B115" s="8" t="s">
        <v>311</v>
      </c>
      <c r="C115" t="s">
        <v>247</v>
      </c>
      <c r="D115" t="s">
        <v>108</v>
      </c>
      <c r="E115" s="7">
        <v>0.5</v>
      </c>
      <c r="F115" s="7" t="str">
        <f>CONCATENATE(D115," (01) - Waterfall Plot Sample.dat")</f>
        <v>TFH367800 2s1 (01) - Waterfall Plot Sample.dat</v>
      </c>
      <c r="G115" s="7" t="str">
        <f>CONCATENATE(D115," (01) - Waterfall Plot Blank.dat")</f>
        <v>TFH367800 2s1 (01) - Waterfall Plot Blank.dat</v>
      </c>
      <c r="H115" s="7" t="str">
        <f>CONCATENATE(D115," (01) - Abs Spectra Graphs.dat")</f>
        <v>TFH367800 2s1 (01) - Abs Spectra Graphs.dat</v>
      </c>
      <c r="I115" s="7">
        <v>1</v>
      </c>
      <c r="J115" s="10">
        <v>2</v>
      </c>
      <c r="K115" s="7">
        <v>3268</v>
      </c>
      <c r="L115" s="13">
        <v>1</v>
      </c>
    </row>
    <row r="116" spans="1:12" x14ac:dyDescent="0.35">
      <c r="A116" s="22">
        <v>115</v>
      </c>
      <c r="B116" s="8" t="s">
        <v>309</v>
      </c>
      <c r="C116" t="s">
        <v>248</v>
      </c>
      <c r="D116" t="s">
        <v>109</v>
      </c>
      <c r="E116" s="7">
        <v>0.5</v>
      </c>
      <c r="F116" s="7" t="str">
        <f>CONCATENATE(D116," (01) - Waterfall Plot Sample.dat")</f>
        <v>TSC367800 1s (01) - Waterfall Plot Sample.dat</v>
      </c>
      <c r="G116" s="7" t="str">
        <f>CONCATENATE(D116," (01) - Waterfall Plot Blank.dat")</f>
        <v>TSC367800 1s (01) - Waterfall Plot Blank.dat</v>
      </c>
      <c r="H116" s="7" t="str">
        <f>CONCATENATE(D116," (01) - Abs Spectra Graphs.dat")</f>
        <v>TSC367800 1s (01) - Abs Spectra Graphs.dat</v>
      </c>
      <c r="I116" s="7">
        <v>1</v>
      </c>
      <c r="J116" s="10">
        <v>1</v>
      </c>
      <c r="K116" s="7">
        <v>3286</v>
      </c>
      <c r="L116" s="13">
        <v>1</v>
      </c>
    </row>
    <row r="117" spans="1:12" x14ac:dyDescent="0.35">
      <c r="A117" s="22">
        <v>116</v>
      </c>
      <c r="B117" s="8" t="s">
        <v>309</v>
      </c>
      <c r="C117" t="s">
        <v>249</v>
      </c>
      <c r="D117" t="s">
        <v>110</v>
      </c>
      <c r="E117" s="7">
        <v>0.5</v>
      </c>
      <c r="F117" s="7" t="str">
        <f>CONCATENATE(D117," (01) - Waterfall Plot Sample.dat")</f>
        <v>TFH3671600 2s (01) - Waterfall Plot Sample.dat</v>
      </c>
      <c r="G117" s="7" t="str">
        <f>CONCATENATE(D117," (01) - Waterfall Plot Blank.dat")</f>
        <v>TFH3671600 2s (01) - Waterfall Plot Blank.dat</v>
      </c>
      <c r="H117" s="7" t="str">
        <f>CONCATENATE(D117," (01) - Abs Spectra Graphs.dat")</f>
        <v>TFH3671600 2s (01) - Abs Spectra Graphs.dat</v>
      </c>
      <c r="I117" s="7">
        <v>1</v>
      </c>
      <c r="J117" s="10">
        <v>2</v>
      </c>
      <c r="K117" s="7">
        <v>3286</v>
      </c>
      <c r="L117" s="13">
        <v>1</v>
      </c>
    </row>
    <row r="118" spans="1:12" x14ac:dyDescent="0.35">
      <c r="A118" s="22">
        <v>117</v>
      </c>
      <c r="B118" s="8" t="s">
        <v>309</v>
      </c>
      <c r="C118" t="s">
        <v>250</v>
      </c>
      <c r="D118" t="s">
        <v>111</v>
      </c>
      <c r="E118" s="7">
        <v>0.5</v>
      </c>
      <c r="F118" s="7" t="str">
        <f>CONCATENATE(D118," (01) - Waterfall Plot Sample.dat")</f>
        <v>TSEs671346 2s (01) - Waterfall Plot Sample.dat</v>
      </c>
      <c r="G118" s="7" t="str">
        <f>CONCATENATE(D118," (01) - Waterfall Plot Blank.dat")</f>
        <v>TSEs671346 2s (01) - Waterfall Plot Blank.dat</v>
      </c>
      <c r="H118" s="7" t="str">
        <f>CONCATENATE(D118," (01) - Abs Spectra Graphs.dat")</f>
        <v>TSEs671346 2s (01) - Abs Spectra Graphs.dat</v>
      </c>
      <c r="I118" s="7">
        <v>1</v>
      </c>
      <c r="J118" s="10">
        <v>2</v>
      </c>
      <c r="K118" s="7">
        <v>3286</v>
      </c>
      <c r="L118" s="13">
        <v>1</v>
      </c>
    </row>
    <row r="119" spans="1:12" x14ac:dyDescent="0.35">
      <c r="A119" s="22">
        <v>118</v>
      </c>
      <c r="B119" s="8" t="s">
        <v>309</v>
      </c>
      <c r="C119" t="s">
        <v>251</v>
      </c>
      <c r="D119" t="s">
        <v>112</v>
      </c>
      <c r="E119" s="7">
        <v>0.5</v>
      </c>
      <c r="F119" s="7" t="str">
        <f>CONCATENATE(D119," (01) - Waterfall Plot Sample.dat")</f>
        <v>TFI567800 1s (01) - Waterfall Plot Sample.dat</v>
      </c>
      <c r="G119" s="7" t="str">
        <f>CONCATENATE(D119," (01) - Waterfall Plot Blank.dat")</f>
        <v>TFI567800 1s (01) - Waterfall Plot Blank.dat</v>
      </c>
      <c r="H119" s="7" t="str">
        <f>CONCATENATE(D119," (01) - Abs Spectra Graphs.dat")</f>
        <v>TFI567800 1s (01) - Abs Spectra Graphs.dat</v>
      </c>
      <c r="I119" s="7">
        <v>1</v>
      </c>
      <c r="J119" s="10">
        <v>1</v>
      </c>
      <c r="K119" s="7">
        <v>3286</v>
      </c>
      <c r="L119" s="13">
        <v>1</v>
      </c>
    </row>
    <row r="120" spans="1:12" x14ac:dyDescent="0.35">
      <c r="A120" s="22">
        <v>119</v>
      </c>
      <c r="B120" s="8" t="s">
        <v>309</v>
      </c>
      <c r="C120" t="s">
        <v>252</v>
      </c>
      <c r="D120" t="s">
        <v>113</v>
      </c>
      <c r="E120" s="7">
        <v>0.5</v>
      </c>
      <c r="F120" s="7" t="str">
        <f>CONCATENATE(D120," (01) - Waterfall Plot Sample.dat")</f>
        <v>TSE367800 4sD (01) - Waterfall Plot Sample.dat</v>
      </c>
      <c r="G120" s="7" t="str">
        <f>CONCATENATE(D120," (01) - Waterfall Plot Blank.dat")</f>
        <v>TSE367800 4sD (01) - Waterfall Plot Blank.dat</v>
      </c>
      <c r="H120" s="7" t="str">
        <f>CONCATENATE(D120," (01) - Abs Spectra Graphs.dat")</f>
        <v>TSE367800 4sD (01) - Abs Spectra Graphs.dat</v>
      </c>
      <c r="I120" s="7">
        <v>1</v>
      </c>
      <c r="J120" s="10">
        <v>4</v>
      </c>
      <c r="K120" s="7">
        <v>3286</v>
      </c>
      <c r="L120" s="13">
        <v>0.66666666666666663</v>
      </c>
    </row>
    <row r="121" spans="1:12" x14ac:dyDescent="0.35">
      <c r="A121" s="22">
        <v>120</v>
      </c>
      <c r="B121" s="8" t="s">
        <v>310</v>
      </c>
      <c r="C121" t="s">
        <v>253</v>
      </c>
      <c r="D121" t="s">
        <v>114</v>
      </c>
      <c r="E121" s="7">
        <v>0.5</v>
      </c>
      <c r="F121" s="7" t="str">
        <f>CONCATENATE(D121," (01) - Waterfall Plot Sample.dat")</f>
        <v>TFD567800 1s (01) - Waterfall Plot Sample.dat</v>
      </c>
      <c r="G121" s="7" t="str">
        <f>CONCATENATE(D121," (01) - Waterfall Plot Blank.dat")</f>
        <v>TFD567800 1s (01) - Waterfall Plot Blank.dat</v>
      </c>
      <c r="H121" s="7" t="str">
        <f>CONCATENATE(D121," (01) - Abs Spectra Graphs.dat")</f>
        <v>TFD567800 1s (01) - Abs Spectra Graphs.dat</v>
      </c>
      <c r="I121" s="7">
        <v>1</v>
      </c>
      <c r="J121" s="10">
        <v>1</v>
      </c>
      <c r="K121" s="7">
        <v>3302</v>
      </c>
      <c r="L121" s="13">
        <v>1</v>
      </c>
    </row>
    <row r="122" spans="1:12" x14ac:dyDescent="0.35">
      <c r="A122" s="22">
        <v>121</v>
      </c>
      <c r="B122" s="8" t="s">
        <v>310</v>
      </c>
      <c r="C122" t="s">
        <v>254</v>
      </c>
      <c r="D122" t="s">
        <v>115</v>
      </c>
      <c r="E122" s="7">
        <v>0.5</v>
      </c>
      <c r="F122" s="7" t="str">
        <f>CONCATENATE(D122," (01) - Waterfall Plot Sample.dat")</f>
        <v>TSS671255 2s (01) - Waterfall Plot Sample.dat</v>
      </c>
      <c r="G122" s="7" t="str">
        <f>CONCATENATE(D122," (01) - Waterfall Plot Blank.dat")</f>
        <v>TSS671255 2s (01) - Waterfall Plot Blank.dat</v>
      </c>
      <c r="H122" s="7" t="str">
        <f>CONCATENATE(D122," (01) - Abs Spectra Graphs.dat")</f>
        <v>TSS671255 2s (01) - Abs Spectra Graphs.dat</v>
      </c>
      <c r="I122" s="7">
        <v>1</v>
      </c>
      <c r="J122" s="10">
        <v>2</v>
      </c>
      <c r="K122" s="7">
        <v>3302</v>
      </c>
      <c r="L122" s="13">
        <v>0.66666666666666663</v>
      </c>
    </row>
    <row r="123" spans="1:12" x14ac:dyDescent="0.35">
      <c r="A123" s="22">
        <v>122</v>
      </c>
      <c r="B123" s="8" t="s">
        <v>310</v>
      </c>
      <c r="C123" t="s">
        <v>255</v>
      </c>
      <c r="D123" t="s">
        <v>116</v>
      </c>
      <c r="E123" s="7">
        <v>0.5</v>
      </c>
      <c r="F123" s="7" t="str">
        <f>CONCATENATE(D123," (01) - Waterfall Plot Sample.dat")</f>
        <v>TFF467800 1s (01) - Waterfall Plot Sample.dat</v>
      </c>
      <c r="G123" s="7" t="str">
        <f>CONCATENATE(D123," (01) - Waterfall Plot Blank.dat")</f>
        <v>TFF467800 1s (01) - Waterfall Plot Blank.dat</v>
      </c>
      <c r="H123" s="7" t="str">
        <f>CONCATENATE(D123," (01) - Abs Spectra Graphs.dat")</f>
        <v>TFF467800 1s (01) - Abs Spectra Graphs.dat</v>
      </c>
      <c r="I123" s="7">
        <v>1</v>
      </c>
      <c r="J123" s="10">
        <v>1</v>
      </c>
      <c r="K123" s="7">
        <v>3302</v>
      </c>
      <c r="L123" s="13">
        <v>1</v>
      </c>
    </row>
    <row r="124" spans="1:12" x14ac:dyDescent="0.35">
      <c r="A124" s="22">
        <v>123</v>
      </c>
      <c r="B124" s="8" t="s">
        <v>310</v>
      </c>
      <c r="C124" t="s">
        <v>256</v>
      </c>
      <c r="D124" t="s">
        <v>117</v>
      </c>
      <c r="E124" s="7">
        <v>0.5</v>
      </c>
      <c r="F124" s="7" t="str">
        <f>CONCATENATE(D124," (01) - Waterfall Plot Sample.dat")</f>
        <v>TSB467800 4s1 (01) - Waterfall Plot Sample.dat</v>
      </c>
      <c r="G124" s="7" t="str">
        <f>CONCATENATE(D124," (01) - Waterfall Plot Blank.dat")</f>
        <v>TSB467800 4s1 (01) - Waterfall Plot Blank.dat</v>
      </c>
      <c r="H124" s="7" t="str">
        <f>CONCATENATE(D124," (01) - Abs Spectra Graphs.dat")</f>
        <v>TSB467800 4s1 (01) - Abs Spectra Graphs.dat</v>
      </c>
      <c r="I124" s="7">
        <v>1</v>
      </c>
      <c r="J124" s="10">
        <v>4</v>
      </c>
      <c r="K124" s="7">
        <v>3302</v>
      </c>
      <c r="L124" s="13">
        <v>0.66666666666666663</v>
      </c>
    </row>
    <row r="125" spans="1:12" x14ac:dyDescent="0.35">
      <c r="A125" s="22">
        <v>124</v>
      </c>
      <c r="B125" s="8" t="s">
        <v>310</v>
      </c>
      <c r="C125" t="s">
        <v>257</v>
      </c>
      <c r="D125" t="s">
        <v>118</v>
      </c>
      <c r="E125" s="7">
        <v>0.5</v>
      </c>
      <c r="F125" s="7" t="str">
        <f>CONCATENATE(D125," (01) - Waterfall Plot Sample.dat")</f>
        <v>TSEs661236 2s (01) - Waterfall Plot Sample.dat</v>
      </c>
      <c r="G125" s="7" t="str">
        <f>CONCATENATE(D125," (01) - Waterfall Plot Blank.dat")</f>
        <v>TSEs661236 2s (01) - Waterfall Plot Blank.dat</v>
      </c>
      <c r="H125" s="7" t="str">
        <f>CONCATENATE(D125," (01) - Abs Spectra Graphs.dat")</f>
        <v>TSEs661236 2s (01) - Abs Spectra Graphs.dat</v>
      </c>
      <c r="I125" s="7">
        <v>1</v>
      </c>
      <c r="J125" s="10">
        <v>2</v>
      </c>
      <c r="K125" s="7">
        <v>3302</v>
      </c>
      <c r="L125" s="13">
        <v>1</v>
      </c>
    </row>
    <row r="126" spans="1:12" x14ac:dyDescent="0.35">
      <c r="A126" s="22">
        <v>125</v>
      </c>
      <c r="B126" s="8" t="s">
        <v>310</v>
      </c>
      <c r="C126" t="s">
        <v>258</v>
      </c>
      <c r="D126" t="s">
        <v>119</v>
      </c>
      <c r="E126" s="7">
        <v>0.5</v>
      </c>
      <c r="F126" s="7" t="str">
        <f>CONCATENATE(D126," (01) - Waterfall Plot Sample.dat")</f>
        <v>TFF4671600 2s (01) - Waterfall Plot Sample.dat</v>
      </c>
      <c r="G126" s="7" t="str">
        <f>CONCATENATE(D126," (01) - Waterfall Plot Blank.dat")</f>
        <v>TFF4671600 2s (01) - Waterfall Plot Blank.dat</v>
      </c>
      <c r="H126" s="7" t="str">
        <f>CONCATENATE(D126," (01) - Abs Spectra Graphs.dat")</f>
        <v>TFF4671600 2s (01) - Abs Spectra Graphs.dat</v>
      </c>
      <c r="I126" s="7">
        <v>1</v>
      </c>
      <c r="J126" s="10">
        <v>2</v>
      </c>
      <c r="K126" s="7">
        <v>3302</v>
      </c>
      <c r="L126" s="13">
        <v>0.66666666666666663</v>
      </c>
    </row>
    <row r="127" spans="1:12" x14ac:dyDescent="0.35">
      <c r="A127" s="22">
        <v>126</v>
      </c>
      <c r="B127" s="8" t="s">
        <v>308</v>
      </c>
      <c r="C127" t="s">
        <v>259</v>
      </c>
      <c r="D127" s="26" t="s">
        <v>355</v>
      </c>
      <c r="E127" s="7">
        <v>0.5</v>
      </c>
      <c r="F127" s="7" t="str">
        <f>CONCATENATE(D127," (01) - Waterfall Plot Sample.dat")</f>
        <v>TSEs60632 2s (01) - Waterfall Plot Sample.dat</v>
      </c>
      <c r="G127" s="7" t="str">
        <f>CONCATENATE(D127," (01) - Waterfall Plot Blank.dat")</f>
        <v>TSEs60632 2s (01) - Waterfall Plot Blank.dat</v>
      </c>
      <c r="H127" s="7" t="str">
        <f>CONCATENATE(D127," (01) - Abs Spectra Graphs.dat")</f>
        <v>TSEs60632 2s (01) - Abs Spectra Graphs.dat</v>
      </c>
      <c r="I127" s="7">
        <v>1</v>
      </c>
      <c r="J127" s="10">
        <v>2</v>
      </c>
      <c r="K127" s="7">
        <v>3338</v>
      </c>
      <c r="L127" s="13">
        <v>1</v>
      </c>
    </row>
    <row r="128" spans="1:12" x14ac:dyDescent="0.35">
      <c r="A128" s="22">
        <v>127</v>
      </c>
      <c r="B128" s="8" t="s">
        <v>308</v>
      </c>
      <c r="C128" t="s">
        <v>260</v>
      </c>
      <c r="D128" s="26" t="s">
        <v>357</v>
      </c>
      <c r="E128" s="7">
        <v>0.5</v>
      </c>
      <c r="F128" s="7" t="str">
        <f>CONCATENATE(D128," (01) - Waterfall Plot Sample.dat")</f>
        <v>TFI5 0606 1s (01) - Waterfall Plot Sample.dat</v>
      </c>
      <c r="G128" s="7" t="str">
        <f>CONCATENATE(D128," (01) - Waterfall Plot Blank.dat")</f>
        <v>TFI5 0606 1s (01) - Waterfall Plot Blank.dat</v>
      </c>
      <c r="H128" s="7" t="str">
        <f>CONCATENATE(D128," (01) - Abs Spectra Graphs.dat")</f>
        <v>TFI5 0606 1s (01) - Abs Spectra Graphs.dat</v>
      </c>
      <c r="I128" s="7">
        <v>1</v>
      </c>
      <c r="J128" s="10">
        <v>1</v>
      </c>
      <c r="K128" s="7">
        <v>3338</v>
      </c>
      <c r="L128" s="13">
        <v>1</v>
      </c>
    </row>
    <row r="129" spans="1:12" x14ac:dyDescent="0.35">
      <c r="A129" s="22">
        <v>128</v>
      </c>
      <c r="B129" s="8" t="s">
        <v>308</v>
      </c>
      <c r="C129" t="s">
        <v>261</v>
      </c>
      <c r="D129" s="26" t="s">
        <v>120</v>
      </c>
      <c r="E129" s="7">
        <v>0.5</v>
      </c>
      <c r="F129" s="7" t="str">
        <f>CONCATENATE(D129," (01) - Waterfall Plot Sample.dat")</f>
        <v>TSS661502 2sD (01) - Waterfall Plot Sample.dat</v>
      </c>
      <c r="G129" s="7" t="str">
        <f>CONCATENATE(D129," (01) - Waterfall Plot Blank.dat")</f>
        <v>TSS661502 2sD (01) - Waterfall Plot Blank.dat</v>
      </c>
      <c r="H129" s="7" t="str">
        <f>CONCATENATE(D129," (01) - Abs Spectra Graphs.dat")</f>
        <v>TSS661502 2sD (01) - Abs Spectra Graphs.dat</v>
      </c>
      <c r="I129" s="7">
        <v>1</v>
      </c>
      <c r="J129" s="10">
        <v>2</v>
      </c>
      <c r="K129" s="7">
        <v>3338</v>
      </c>
      <c r="L129" s="13">
        <v>0.66666666666666663</v>
      </c>
    </row>
    <row r="130" spans="1:12" x14ac:dyDescent="0.35">
      <c r="A130" s="22">
        <v>129</v>
      </c>
      <c r="B130" s="8" t="s">
        <v>308</v>
      </c>
      <c r="C130" t="s">
        <v>262</v>
      </c>
      <c r="D130" s="26" t="s">
        <v>344</v>
      </c>
      <c r="E130" s="7">
        <v>0.5</v>
      </c>
      <c r="F130" s="7" t="str">
        <f>CONCATENATE(D130," (01) - Waterfall Plot Sample.dat")</f>
        <v>TFD5 0606 1s (01) - Waterfall Plot Sample.dat</v>
      </c>
      <c r="G130" s="7" t="str">
        <f>CONCATENATE(D130," (01) - Waterfall Plot Blank.dat")</f>
        <v>TFD5 0606 1s (01) - Waterfall Plot Blank.dat</v>
      </c>
      <c r="H130" s="7" t="str">
        <f>CONCATENATE(D130," (01) - Abs Spectra Graphs.dat")</f>
        <v>TFD5 0606 1s (01) - Abs Spectra Graphs.dat</v>
      </c>
      <c r="I130" s="7">
        <v>1</v>
      </c>
      <c r="J130" s="10">
        <v>1</v>
      </c>
      <c r="K130" s="7">
        <v>3338</v>
      </c>
      <c r="L130" s="13">
        <v>1</v>
      </c>
    </row>
    <row r="131" spans="1:12" x14ac:dyDescent="0.35">
      <c r="A131" s="22">
        <v>130</v>
      </c>
      <c r="B131" s="8" t="s">
        <v>308</v>
      </c>
      <c r="C131" t="s">
        <v>303</v>
      </c>
      <c r="D131" s="26" t="s">
        <v>345</v>
      </c>
      <c r="E131" s="7">
        <v>1</v>
      </c>
      <c r="F131" s="7" t="str">
        <f>CONCATENATE(D131," (01) - Waterfall Plot Sample.dat")</f>
        <v>TFF4 0606 1s (01) - Waterfall Plot Sample.dat</v>
      </c>
      <c r="G131" s="7" t="str">
        <f>CONCATENATE(D131," (01) - Waterfall Plot Blank.dat")</f>
        <v>TFF4 0606 1s (01) - Waterfall Plot Blank.dat</v>
      </c>
      <c r="H131" s="7" t="str">
        <f>CONCATENATE(D131," (01) - Abs Spectra Graphs.dat")</f>
        <v>TFF4 0606 1s (01) - Abs Spectra Graphs.dat</v>
      </c>
      <c r="I131" s="7">
        <v>1</v>
      </c>
      <c r="J131" s="10">
        <v>1</v>
      </c>
      <c r="K131" s="7">
        <v>3338</v>
      </c>
      <c r="L131" s="13">
        <v>1</v>
      </c>
    </row>
    <row r="132" spans="1:12" x14ac:dyDescent="0.35">
      <c r="A132" s="22">
        <v>131</v>
      </c>
      <c r="B132" s="8" t="s">
        <v>308</v>
      </c>
      <c r="C132" t="s">
        <v>304</v>
      </c>
      <c r="D132" s="26" t="s">
        <v>346</v>
      </c>
      <c r="E132" s="7">
        <v>1</v>
      </c>
      <c r="F132" s="7" t="str">
        <f>CONCATENATE(D132," (01) - Waterfall Plot Sample.dat")</f>
        <v>TFH3 0606 2sD (01) - Waterfall Plot Sample.dat</v>
      </c>
      <c r="G132" s="7" t="str">
        <f>CONCATENATE(D132," (01) - Waterfall Plot Blank.dat")</f>
        <v>TFH3 0606 2sD (01) - Waterfall Plot Blank.dat</v>
      </c>
      <c r="H132" s="7" t="str">
        <f>CONCATENATE(D132," (01) - Abs Spectra Graphs.dat")</f>
        <v>TFH3 0606 2sD (01) - Abs Spectra Graphs.dat</v>
      </c>
      <c r="I132" s="7">
        <v>1</v>
      </c>
      <c r="J132" s="10">
        <v>2</v>
      </c>
      <c r="K132" s="7">
        <v>3338</v>
      </c>
      <c r="L132" s="13">
        <v>0.66666666666666663</v>
      </c>
    </row>
    <row r="133" spans="1:12" x14ac:dyDescent="0.35">
      <c r="A133" s="22">
        <v>132</v>
      </c>
      <c r="B133" s="8" t="s">
        <v>308</v>
      </c>
      <c r="C133" t="s">
        <v>305</v>
      </c>
      <c r="D133" s="26" t="s">
        <v>354</v>
      </c>
      <c r="E133" s="7">
        <v>1</v>
      </c>
      <c r="F133" s="7" t="str">
        <f>CONCATENATE(D133," (01) - Waterfall Plot Sample.dat")</f>
        <v>TSC3 0606 1s (01) - Waterfall Plot Sample.dat</v>
      </c>
      <c r="G133" s="7" t="str">
        <f>CONCATENATE(D133," (01) - Waterfall Plot Blank.dat")</f>
        <v>TSC3 0606 1s (01) - Waterfall Plot Blank.dat</v>
      </c>
      <c r="H133" s="7" t="str">
        <f>CONCATENATE(D133," (01) - Abs Spectra Graphs.dat")</f>
        <v>TSC3 0606 1s (01) - Abs Spectra Graphs.dat</v>
      </c>
      <c r="I133" s="7">
        <v>1</v>
      </c>
      <c r="J133" s="10">
        <v>1</v>
      </c>
      <c r="K133" s="7">
        <v>3338</v>
      </c>
      <c r="L133" s="13">
        <v>1</v>
      </c>
    </row>
    <row r="134" spans="1:12" x14ac:dyDescent="0.35">
      <c r="A134" s="22">
        <v>133</v>
      </c>
      <c r="B134" s="8" t="s">
        <v>308</v>
      </c>
      <c r="C134" t="s">
        <v>306</v>
      </c>
      <c r="D134" s="26" t="s">
        <v>359</v>
      </c>
      <c r="E134" s="7">
        <v>1</v>
      </c>
      <c r="F134" s="7" t="str">
        <f>CONCATENATE(D134," (01) - Waterfall Plot Sample.dat")</f>
        <v>TSD5 0606 2s (01) - Waterfall Plot Sample.dat</v>
      </c>
      <c r="G134" s="7" t="str">
        <f>CONCATENATE(D134," (01) - Waterfall Plot Blank.dat")</f>
        <v>TSD5 0606 2s (01) - Waterfall Plot Blank.dat</v>
      </c>
      <c r="H134" s="7" t="str">
        <f>CONCATENATE(D134," (01) - Abs Spectra Graphs.dat")</f>
        <v>TSD5 0606 2s (01) - Abs Spectra Graphs.dat</v>
      </c>
      <c r="I134" s="7">
        <v>1</v>
      </c>
      <c r="J134" s="10">
        <v>2</v>
      </c>
      <c r="K134" s="7">
        <v>3338</v>
      </c>
      <c r="L134" s="13">
        <v>1</v>
      </c>
    </row>
    <row r="135" spans="1:12" x14ac:dyDescent="0.35">
      <c r="A135" s="22">
        <v>134</v>
      </c>
      <c r="B135" s="8" t="s">
        <v>308</v>
      </c>
      <c r="C135" t="s">
        <v>307</v>
      </c>
      <c r="D135" s="26" t="s">
        <v>358</v>
      </c>
      <c r="E135" s="7">
        <v>1</v>
      </c>
      <c r="F135" s="7" t="str">
        <f>CONCATENATE(D135," (01) - Waterfall Plot Sample.dat")</f>
        <v>TSS0606709 4s (01) - Waterfall Plot Sample.dat</v>
      </c>
      <c r="G135" s="7" t="str">
        <f>CONCATENATE(D135," (01) - Waterfall Plot Blank.dat")</f>
        <v>TSS0606709 4s (01) - Waterfall Plot Blank.dat</v>
      </c>
      <c r="H135" s="7" t="str">
        <f>CONCATENATE(D135," (01) - Abs Spectra Graphs.dat")</f>
        <v>TSS0606709 4s (01) - Abs Spectra Graphs.dat</v>
      </c>
      <c r="I135" s="7">
        <v>1</v>
      </c>
      <c r="J135" s="10">
        <v>4</v>
      </c>
      <c r="K135" s="7">
        <v>3338</v>
      </c>
      <c r="L135" s="13">
        <v>1</v>
      </c>
    </row>
    <row r="136" spans="1:12" x14ac:dyDescent="0.35">
      <c r="A136" s="22">
        <v>135</v>
      </c>
      <c r="B136" s="8" t="s">
        <v>363</v>
      </c>
      <c r="C136" t="s">
        <v>263</v>
      </c>
      <c r="D136" t="s">
        <v>121</v>
      </c>
      <c r="E136" s="7">
        <v>0.5</v>
      </c>
      <c r="F136" s="7" t="str">
        <f>CONCATENATE(D136," (01) - Waterfall Plot Sample.dat")</f>
        <v>TCI5Jun03 2s (01) - Waterfall Plot Sample.dat</v>
      </c>
      <c r="G136" s="7" t="str">
        <f>CONCATENATE(D136," (01) - Waterfall Plot Blank.dat")</f>
        <v>TCI5Jun03 2s (01) - Waterfall Plot Blank.dat</v>
      </c>
      <c r="H136" s="7" t="str">
        <f>CONCATENATE(D136," (01) - Abs Spectra Graphs.dat")</f>
        <v>TCI5Jun03 2s (01) - Abs Spectra Graphs.dat</v>
      </c>
      <c r="I136" s="7">
        <v>1</v>
      </c>
      <c r="J136" s="10">
        <v>2</v>
      </c>
      <c r="K136" s="7">
        <v>3056</v>
      </c>
      <c r="L136" s="13">
        <v>0.5</v>
      </c>
    </row>
    <row r="137" spans="1:12" x14ac:dyDescent="0.35">
      <c r="A137" s="22">
        <v>136</v>
      </c>
      <c r="B137" s="8" t="s">
        <v>363</v>
      </c>
      <c r="C137" t="s">
        <v>264</v>
      </c>
      <c r="D137" t="s">
        <v>122</v>
      </c>
      <c r="E137" s="7">
        <v>0.5</v>
      </c>
      <c r="F137" s="7" t="str">
        <f>CONCATENATE(D137," (01) - Waterfall Plot Sample.dat")</f>
        <v>TFD5Jun03 2s (01) - Waterfall Plot Sample.dat</v>
      </c>
      <c r="G137" s="7" t="str">
        <f>CONCATENATE(D137," (01) - Waterfall Plot Blank.dat")</f>
        <v>TFD5Jun03 2s (01) - Waterfall Plot Blank.dat</v>
      </c>
      <c r="H137" s="7" t="str">
        <f>CONCATENATE(D137," (01) - Abs Spectra Graphs.dat")</f>
        <v>TFD5Jun03 2s (01) - Abs Spectra Graphs.dat</v>
      </c>
      <c r="I137" s="7">
        <v>1</v>
      </c>
      <c r="J137" s="10">
        <v>2</v>
      </c>
      <c r="K137" s="7">
        <v>3056</v>
      </c>
      <c r="L137" s="13">
        <v>0.5</v>
      </c>
    </row>
    <row r="138" spans="1:12" x14ac:dyDescent="0.35">
      <c r="A138" s="22">
        <v>137</v>
      </c>
      <c r="B138" s="8" t="s">
        <v>363</v>
      </c>
      <c r="C138" t="s">
        <v>265</v>
      </c>
      <c r="D138" t="s">
        <v>123</v>
      </c>
      <c r="E138" s="7">
        <v>0.5</v>
      </c>
      <c r="F138" s="7" t="str">
        <f>CONCATENATE(D138," (01) - Waterfall Plot Sample.dat")</f>
        <v>TCC6Jun03 2s (01) - Waterfall Plot Sample.dat</v>
      </c>
      <c r="G138" s="7" t="str">
        <f>CONCATENATE(D138," (01) - Waterfall Plot Blank.dat")</f>
        <v>TCC6Jun03 2s (01) - Waterfall Plot Blank.dat</v>
      </c>
      <c r="H138" s="7" t="str">
        <f>CONCATENATE(D138," (01) - Abs Spectra Graphs.dat")</f>
        <v>TCC6Jun03 2s (01) - Abs Spectra Graphs.dat</v>
      </c>
      <c r="I138" s="7">
        <v>1</v>
      </c>
      <c r="J138" s="10">
        <v>2</v>
      </c>
      <c r="K138" s="7">
        <v>3056</v>
      </c>
      <c r="L138" s="13">
        <v>0.5</v>
      </c>
    </row>
    <row r="139" spans="1:12" x14ac:dyDescent="0.35">
      <c r="A139" s="22">
        <v>138</v>
      </c>
      <c r="B139" s="8" t="s">
        <v>363</v>
      </c>
      <c r="C139" t="s">
        <v>266</v>
      </c>
      <c r="D139" t="s">
        <v>124</v>
      </c>
      <c r="E139" s="7">
        <v>0.5</v>
      </c>
      <c r="F139" s="7" t="str">
        <f>CONCATENATE(D139," (02) - Waterfall Plot Sample.dat")</f>
        <v>TSB4Jun03 4s (02) - Waterfall Plot Sample.dat</v>
      </c>
      <c r="G139" s="7" t="str">
        <f>CONCATENATE(D139," (02) - Waterfall Plot Blank.dat")</f>
        <v>TSB4Jun03 4s (02) - Waterfall Plot Blank.dat</v>
      </c>
      <c r="H139" s="7" t="str">
        <f>CONCATENATE(D139," (02) - Abs Spectra Graphs.dat")</f>
        <v>TSB4Jun03 4s (02) - Abs Spectra Graphs.dat</v>
      </c>
      <c r="I139" s="7">
        <v>1</v>
      </c>
      <c r="J139" s="10">
        <v>4</v>
      </c>
      <c r="K139" s="7">
        <v>3056</v>
      </c>
      <c r="L139" s="13">
        <v>0.08</v>
      </c>
    </row>
    <row r="140" spans="1:12" x14ac:dyDescent="0.35">
      <c r="A140" s="22">
        <v>139</v>
      </c>
      <c r="B140" s="8" t="s">
        <v>363</v>
      </c>
      <c r="C140" t="s">
        <v>267</v>
      </c>
      <c r="D140" t="s">
        <v>125</v>
      </c>
      <c r="E140" s="7">
        <v>0.5</v>
      </c>
      <c r="F140" s="7" t="str">
        <f>CONCATENATE(D140," (01) - Waterfall Plot Sample.dat")</f>
        <v>TFI5Jun03 2s (01) - Waterfall Plot Sample.dat</v>
      </c>
      <c r="G140" s="7" t="str">
        <f>CONCATENATE(D140," (01) - Waterfall Plot Blank.dat")</f>
        <v>TFI5Jun03 2s (01) - Waterfall Plot Blank.dat</v>
      </c>
      <c r="H140" s="7" t="str">
        <f>CONCATENATE(D140," (01) - Abs Spectra Graphs.dat")</f>
        <v>TFI5Jun03 2s (01) - Abs Spectra Graphs.dat</v>
      </c>
      <c r="I140" s="7">
        <v>1</v>
      </c>
      <c r="J140" s="10">
        <v>2</v>
      </c>
      <c r="K140" s="7">
        <v>3056</v>
      </c>
      <c r="L140" s="13">
        <v>0.5</v>
      </c>
    </row>
    <row r="141" spans="1:12" x14ac:dyDescent="0.35">
      <c r="A141" s="22">
        <v>140</v>
      </c>
      <c r="B141" s="8" t="s">
        <v>363</v>
      </c>
      <c r="C141" t="s">
        <v>268</v>
      </c>
      <c r="D141" t="s">
        <v>126</v>
      </c>
      <c r="E141" s="7">
        <v>0.5</v>
      </c>
      <c r="F141" s="7" t="str">
        <f>CONCATENATE(D141," (01) - Waterfall Plot Sample.dat")</f>
        <v>TCH6Jun02 2s (01) - Waterfall Plot Sample.dat</v>
      </c>
      <c r="G141" s="7" t="str">
        <f>CONCATENATE(D141," (01) - Waterfall Plot Blank.dat")</f>
        <v>TCH6Jun02 2s (01) - Waterfall Plot Blank.dat</v>
      </c>
      <c r="H141" s="7" t="str">
        <f>CONCATENATE(D141," (01) - Abs Spectra Graphs.dat")</f>
        <v>TCH6Jun02 2s (01) - Abs Spectra Graphs.dat</v>
      </c>
      <c r="I141" s="7">
        <v>1</v>
      </c>
      <c r="J141" s="10">
        <v>2</v>
      </c>
      <c r="K141" s="7">
        <v>3056</v>
      </c>
      <c r="L141" s="13">
        <v>0.5</v>
      </c>
    </row>
    <row r="142" spans="1:12" x14ac:dyDescent="0.35">
      <c r="A142" s="22">
        <v>141</v>
      </c>
      <c r="B142" s="8" t="s">
        <v>302</v>
      </c>
      <c r="C142" t="s">
        <v>269</v>
      </c>
      <c r="D142" t="s">
        <v>352</v>
      </c>
      <c r="E142" s="7">
        <v>0.5</v>
      </c>
      <c r="F142" s="7" t="str">
        <f>CONCATENATE(D142," (01) - Waterfall Plot Sample.dat")</f>
        <v>TMPFWH3 D1 2s (01) - Waterfall Plot Sample.dat</v>
      </c>
      <c r="G142" s="7" t="str">
        <f>CONCATENATE(D142," (01) - Waterfall Plot Blank.dat")</f>
        <v>TMPFWH3 D1 2s (01) - Waterfall Plot Blank.dat</v>
      </c>
      <c r="H142" s="7" t="str">
        <f>CONCATENATE(D142," (01) - Abs Spectra Graphs.dat")</f>
        <v>TMPFWH3 D1 2s (01) - Abs Spectra Graphs.dat</v>
      </c>
      <c r="I142" s="7">
        <v>1</v>
      </c>
      <c r="J142" s="10">
        <v>2</v>
      </c>
      <c r="K142" s="7">
        <v>3077</v>
      </c>
      <c r="L142" s="13">
        <v>0.5</v>
      </c>
    </row>
    <row r="143" spans="1:12" x14ac:dyDescent="0.35">
      <c r="A143" s="22">
        <v>142</v>
      </c>
      <c r="B143" s="8" t="s">
        <v>302</v>
      </c>
      <c r="C143" t="s">
        <v>270</v>
      </c>
      <c r="D143" t="s">
        <v>351</v>
      </c>
      <c r="E143" s="7">
        <v>0.5</v>
      </c>
      <c r="F143" s="7" t="str">
        <f>CONCATENATE(D143," (01) - Waterfall Plot Sample.dat")</f>
        <v>TMPFWE3 D3 2s (01) - Waterfall Plot Sample.dat</v>
      </c>
      <c r="G143" s="7" t="str">
        <f>CONCATENATE(D143," (01) - Waterfall Plot Blank.dat")</f>
        <v>TMPFWE3 D3 2s (01) - Waterfall Plot Blank.dat</v>
      </c>
      <c r="H143" s="7" t="str">
        <f>CONCATENATE(D143," (01) - Abs Spectra Graphs.dat")</f>
        <v>TMPFWE3 D3 2s (01) - Abs Spectra Graphs.dat</v>
      </c>
      <c r="I143" s="7">
        <v>1</v>
      </c>
      <c r="J143" s="10">
        <v>2</v>
      </c>
      <c r="K143" s="7">
        <v>3077</v>
      </c>
      <c r="L143" s="13">
        <v>0.75</v>
      </c>
    </row>
    <row r="144" spans="1:12" x14ac:dyDescent="0.35">
      <c r="A144" s="22">
        <v>143</v>
      </c>
      <c r="B144" s="8" t="s">
        <v>302</v>
      </c>
      <c r="C144" t="s">
        <v>271</v>
      </c>
      <c r="D144" t="s">
        <v>350</v>
      </c>
      <c r="E144" s="7">
        <v>0.5</v>
      </c>
      <c r="F144" s="7" t="str">
        <f>CONCATENATE(D144," (01) - Waterfall Plot Sample.dat")</f>
        <v>TMPFWD5 D1 2s (01) - Waterfall Plot Sample.dat</v>
      </c>
      <c r="G144" s="7" t="str">
        <f>CONCATENATE(D144," (01) - Waterfall Plot Blank.dat")</f>
        <v>TMPFWD5 D1 2s (01) - Waterfall Plot Blank.dat</v>
      </c>
      <c r="H144" s="7" t="str">
        <f>CONCATENATE(D144," (01) - Abs Spectra Graphs.dat")</f>
        <v>TMPFWD5 D1 2s (01) - Abs Spectra Graphs.dat</v>
      </c>
      <c r="I144" s="7">
        <v>1</v>
      </c>
      <c r="J144" s="10">
        <v>2</v>
      </c>
      <c r="K144" s="7">
        <v>3077</v>
      </c>
      <c r="L144" s="13">
        <v>0.5</v>
      </c>
    </row>
    <row r="145" spans="1:12" x14ac:dyDescent="0.35">
      <c r="A145" s="22">
        <v>144</v>
      </c>
      <c r="B145" s="8" t="s">
        <v>302</v>
      </c>
      <c r="C145" t="s">
        <v>301</v>
      </c>
      <c r="D145" t="s">
        <v>353</v>
      </c>
      <c r="E145" s="7">
        <v>0.5</v>
      </c>
      <c r="F145" s="7" t="str">
        <f>CONCATENATE(D145," (01) - Waterfall Plot Sample.dat")</f>
        <v>TMPFWI5 D1 2s (01) - Waterfall Plot Sample.dat</v>
      </c>
      <c r="G145" s="7" t="str">
        <f>CONCATENATE(D145," (01) - Waterfall Plot Blank.dat")</f>
        <v>TMPFWI5 D1 2s (01) - Waterfall Plot Blank.dat</v>
      </c>
      <c r="H145" s="7" t="str">
        <f>CONCATENATE(D145," (01) - Abs Spectra Graphs.dat")</f>
        <v>TMPFWI5 D1 2s (01) - Abs Spectra Graphs.dat</v>
      </c>
      <c r="I145" s="7">
        <v>1</v>
      </c>
      <c r="J145" s="10">
        <v>2</v>
      </c>
      <c r="K145" s="7">
        <v>3077</v>
      </c>
      <c r="L145" s="13">
        <v>0.5</v>
      </c>
    </row>
    <row r="146" spans="1:12" x14ac:dyDescent="0.35">
      <c r="A146" s="22">
        <v>145</v>
      </c>
      <c r="B146" s="8" t="s">
        <v>302</v>
      </c>
      <c r="C146" t="s">
        <v>272</v>
      </c>
      <c r="D146" t="s">
        <v>127</v>
      </c>
      <c r="E146" s="7">
        <v>0.5</v>
      </c>
      <c r="F146" s="7" t="str">
        <f>CONCATENATE(D146," (01) - Waterfall Plot Sample.dat")</f>
        <v>TMPSWB4 D2 4s (01) - Waterfall Plot Sample.dat</v>
      </c>
      <c r="G146" s="7" t="str">
        <f>CONCATENATE(D146," (01) - Waterfall Plot Blank.dat")</f>
        <v>TMPSWB4 D2 4s (01) - Waterfall Plot Blank.dat</v>
      </c>
      <c r="H146" s="7" t="str">
        <f>CONCATENATE(D146," (01) - Abs Spectra Graphs.dat")</f>
        <v>TMPSWB4 D2 4s (01) - Abs Spectra Graphs.dat</v>
      </c>
      <c r="I146" s="7">
        <v>1</v>
      </c>
      <c r="J146" s="10">
        <v>4</v>
      </c>
      <c r="K146" s="7">
        <v>3077</v>
      </c>
      <c r="L146" s="13">
        <v>9.9999999999999992E-2</v>
      </c>
    </row>
    <row r="147" spans="1:12" x14ac:dyDescent="0.35">
      <c r="A147" s="22">
        <v>146</v>
      </c>
      <c r="B147" s="8" t="s">
        <v>302</v>
      </c>
      <c r="C147" t="s">
        <v>273</v>
      </c>
      <c r="D147" t="s">
        <v>128</v>
      </c>
      <c r="E147" s="7">
        <v>0.5</v>
      </c>
      <c r="F147" s="7" t="str">
        <f>CONCATENATE(D147," (01) - Waterfall Plot Sample.dat")</f>
        <v>TMPCF6 D4 2s (01) - Waterfall Plot Sample.dat</v>
      </c>
      <c r="G147" s="7" t="str">
        <f>CONCATENATE(D147," (01) - Waterfall Plot Blank.dat")</f>
        <v>TMPCF6 D4 2s (01) - Waterfall Plot Blank.dat</v>
      </c>
      <c r="H147" s="7" t="str">
        <f>CONCATENATE(D147," (01) - Abs Spectra Graphs.dat")</f>
        <v>TMPCF6 D4 2s (01) - Abs Spectra Graphs.dat</v>
      </c>
      <c r="I147" s="7">
        <v>1</v>
      </c>
      <c r="J147" s="10">
        <v>2</v>
      </c>
      <c r="K147" s="7">
        <v>3077</v>
      </c>
      <c r="L147" s="13">
        <v>0.5</v>
      </c>
    </row>
    <row r="148" spans="1:12" x14ac:dyDescent="0.35">
      <c r="A148" s="22">
        <v>147</v>
      </c>
      <c r="B148" s="8" t="s">
        <v>302</v>
      </c>
      <c r="C148" t="s">
        <v>274</v>
      </c>
      <c r="D148" t="s">
        <v>129</v>
      </c>
      <c r="E148" s="7">
        <v>0.5</v>
      </c>
      <c r="F148" s="7" t="str">
        <f>CONCATENATE(D148," (01) - Waterfall Plot Sample.dat")</f>
        <v>TMPFWH6 D3 2s (01) - Waterfall Plot Sample.dat</v>
      </c>
      <c r="G148" s="7" t="str">
        <f>CONCATENATE(D148," (01) - Waterfall Plot Blank.dat")</f>
        <v>TMPFWH6 D3 2s (01) - Waterfall Plot Blank.dat</v>
      </c>
      <c r="H148" s="7" t="str">
        <f>CONCATENATE(D148," (01) - Abs Spectra Graphs.dat")</f>
        <v>TMPFWH6 D3 2s (01) - Abs Spectra Graphs.dat</v>
      </c>
      <c r="I148" s="7">
        <v>1</v>
      </c>
      <c r="J148" s="10">
        <v>2</v>
      </c>
      <c r="K148" s="7">
        <v>3077</v>
      </c>
      <c r="L148" s="13">
        <v>0.39999999999999997</v>
      </c>
    </row>
    <row r="149" spans="1:12" x14ac:dyDescent="0.35">
      <c r="A149" s="22">
        <v>148</v>
      </c>
      <c r="B149" s="8" t="s">
        <v>300</v>
      </c>
      <c r="C149" t="s">
        <v>275</v>
      </c>
      <c r="D149" t="s">
        <v>130</v>
      </c>
      <c r="E149" s="7">
        <v>0.5</v>
      </c>
      <c r="F149" s="7" t="str">
        <f>CONCATENATE(D149," (01) - Waterfall Plot Sample.dat")</f>
        <v>TMPFWC3 D2 2s (01) - Waterfall Plot Sample.dat</v>
      </c>
      <c r="G149" s="7" t="str">
        <f>CONCATENATE(D149," (01) - Waterfall Plot Blank.dat")</f>
        <v>TMPFWC3 D2 2s (01) - Waterfall Plot Blank.dat</v>
      </c>
      <c r="H149" s="7" t="str">
        <f>CONCATENATE(D149," (01) - Abs Spectra Graphs.dat")</f>
        <v>TMPFWC3 D2 2s (01) - Abs Spectra Graphs.dat</v>
      </c>
      <c r="I149" s="7">
        <v>1</v>
      </c>
      <c r="J149" s="10">
        <v>2</v>
      </c>
      <c r="K149" s="7">
        <v>3073</v>
      </c>
      <c r="L149" s="13">
        <v>0.66666666666666663</v>
      </c>
    </row>
    <row r="150" spans="1:12" x14ac:dyDescent="0.35">
      <c r="A150" s="22">
        <v>149</v>
      </c>
      <c r="B150" s="8" t="s">
        <v>300</v>
      </c>
      <c r="C150" t="s">
        <v>276</v>
      </c>
      <c r="D150" t="s">
        <v>131</v>
      </c>
      <c r="E150" s="7">
        <v>0.5</v>
      </c>
      <c r="F150" s="7" t="str">
        <f>CONCATENATE(D150," (01) - Waterfall Plot Sample.dat")</f>
        <v>TMPCC6 D2 2s (01) - Waterfall Plot Sample.dat</v>
      </c>
      <c r="G150" s="7" t="str">
        <f>CONCATENATE(D150," (01) - Waterfall Plot Blank.dat")</f>
        <v>TMPCC6 D2 2s (01) - Waterfall Plot Blank.dat</v>
      </c>
      <c r="H150" s="7" t="str">
        <f>CONCATENATE(D150," (01) - Abs Spectra Graphs.dat")</f>
        <v>TMPCC6 D2 2s (01) - Abs Spectra Graphs.dat</v>
      </c>
      <c r="I150" s="7">
        <v>1</v>
      </c>
      <c r="J150" s="10">
        <v>2</v>
      </c>
      <c r="K150" s="7">
        <v>3073</v>
      </c>
      <c r="L150" s="13">
        <v>0.75</v>
      </c>
    </row>
    <row r="151" spans="1:12" x14ac:dyDescent="0.35">
      <c r="A151" s="22">
        <v>150</v>
      </c>
      <c r="B151" s="8" t="s">
        <v>300</v>
      </c>
      <c r="C151" t="s">
        <v>277</v>
      </c>
      <c r="D151" t="s">
        <v>132</v>
      </c>
      <c r="E151" s="7">
        <v>0.5</v>
      </c>
      <c r="F151" s="7" t="str">
        <f>CONCATENATE(D151," (01) - Waterfall Plot Sample.dat")</f>
        <v>TMPSWH6 D3 4s (01) - Waterfall Plot Sample.dat</v>
      </c>
      <c r="G151" s="7" t="str">
        <f>CONCATENATE(D151," (01) - Waterfall Plot Blank.dat")</f>
        <v>TMPSWH6 D3 4s (01) - Waterfall Plot Blank.dat</v>
      </c>
      <c r="H151" s="7" t="str">
        <f>CONCATENATE(D151," (01) - Abs Spectra Graphs.dat")</f>
        <v>TMPSWH6 D3 4s (01) - Abs Spectra Graphs.dat</v>
      </c>
      <c r="I151" s="7">
        <v>1</v>
      </c>
      <c r="J151" s="10">
        <v>4</v>
      </c>
      <c r="K151" s="7">
        <v>3073</v>
      </c>
      <c r="L151" s="13">
        <v>0.10000000000000002</v>
      </c>
    </row>
    <row r="152" spans="1:12" x14ac:dyDescent="0.35">
      <c r="A152" s="22">
        <v>151</v>
      </c>
      <c r="B152" s="8" t="s">
        <v>300</v>
      </c>
      <c r="C152" t="s">
        <v>278</v>
      </c>
      <c r="D152" t="s">
        <v>133</v>
      </c>
      <c r="E152" s="7">
        <v>0.5</v>
      </c>
      <c r="F152" s="7" t="str">
        <f>CONCATENATE(D152," (01) - Waterfall Plot Sample.dat")</f>
        <v>TMPCH6 D2 1s (01) - Waterfall Plot Sample.dat</v>
      </c>
      <c r="G152" s="7" t="str">
        <f>CONCATENATE(D152," (01) - Waterfall Plot Blank.dat")</f>
        <v>TMPCH6 D2 1s (01) - Waterfall Plot Blank.dat</v>
      </c>
      <c r="H152" s="7" t="str">
        <f>CONCATENATE(D152," (01) - Abs Spectra Graphs.dat")</f>
        <v>TMPCH6 D2 1s (01) - Abs Spectra Graphs.dat</v>
      </c>
      <c r="I152" s="7">
        <v>1</v>
      </c>
      <c r="J152" s="10">
        <v>1</v>
      </c>
      <c r="K152" s="7">
        <v>3073</v>
      </c>
      <c r="L152" s="13">
        <v>0.75</v>
      </c>
    </row>
    <row r="153" spans="1:12" x14ac:dyDescent="0.35">
      <c r="A153" s="22">
        <v>152</v>
      </c>
      <c r="B153" s="8" t="s">
        <v>300</v>
      </c>
      <c r="C153" t="s">
        <v>279</v>
      </c>
      <c r="D153" t="s">
        <v>134</v>
      </c>
      <c r="E153" s="7">
        <v>0.5</v>
      </c>
      <c r="F153" s="7" t="str">
        <f>CONCATENATE(D153," (01) - Waterfall Plot Sample.dat")</f>
        <v>TMPFWF6 D2 1s (01) - Waterfall Plot Sample.dat</v>
      </c>
      <c r="G153" s="7" t="str">
        <f>CONCATENATE(D153," (01) - Waterfall Plot Blank.dat")</f>
        <v>TMPFWF6 D2 1s (01) - Waterfall Plot Blank.dat</v>
      </c>
      <c r="H153" s="7" t="str">
        <f>CONCATENATE(D153," (01) - Abs Spectra Graphs.dat")</f>
        <v>TMPFWF6 D2 1s (01) - Abs Spectra Graphs.dat</v>
      </c>
      <c r="I153" s="7">
        <v>1</v>
      </c>
      <c r="J153" s="10">
        <v>1</v>
      </c>
      <c r="K153" s="7">
        <v>3073</v>
      </c>
      <c r="L153" s="13">
        <v>0.75</v>
      </c>
    </row>
    <row r="154" spans="1:12" x14ac:dyDescent="0.35">
      <c r="A154" s="22">
        <v>153</v>
      </c>
      <c r="B154" s="8" t="s">
        <v>300</v>
      </c>
      <c r="C154" t="s">
        <v>364</v>
      </c>
      <c r="D154" t="s">
        <v>299</v>
      </c>
      <c r="E154" s="7">
        <v>1</v>
      </c>
      <c r="F154" s="7" t="str">
        <f>CONCATENATE(D154," (01) - Waterfall Plot Sample.dat")</f>
        <v>TMPSWF6 D4 2s (01) - Waterfall Plot Sample.dat</v>
      </c>
      <c r="G154" s="7" t="str">
        <f>CONCATENATE(D154," (01) - Waterfall Plot Blank.dat")</f>
        <v>TMPSWF6 D4 2s (01) - Waterfall Plot Blank.dat</v>
      </c>
      <c r="H154" s="7" t="str">
        <f>CONCATENATE(D154," (01) - Abs Spectra Graphs.dat")</f>
        <v>TMPSWF6 D4 2s (01) - Abs Spectra Graphs.dat</v>
      </c>
      <c r="I154" s="7">
        <v>1</v>
      </c>
      <c r="J154" s="10">
        <v>2</v>
      </c>
      <c r="K154" s="7">
        <v>3073</v>
      </c>
      <c r="L154" s="13">
        <v>0.1</v>
      </c>
    </row>
    <row r="155" spans="1:12" x14ac:dyDescent="0.35">
      <c r="A155" s="22">
        <v>154</v>
      </c>
      <c r="B155" s="8" t="s">
        <v>298</v>
      </c>
      <c r="C155" t="s">
        <v>280</v>
      </c>
      <c r="D155" t="s">
        <v>349</v>
      </c>
      <c r="E155" s="7">
        <v>0.5</v>
      </c>
      <c r="F155" s="7" t="str">
        <f>CONCATENATE(D155," (01) - Waterfall Plot Sample.dat")</f>
        <v>TMPFApr23 1sD (01) - Waterfall Plot Sample.dat</v>
      </c>
      <c r="G155" s="7" t="str">
        <f>CONCATENATE(D155," (01) - Waterfall Plot Blank.dat")</f>
        <v>TMPFApr23 1sD (01) - Waterfall Plot Blank.dat</v>
      </c>
      <c r="H155" s="7" t="str">
        <f>CONCATENATE(D155," (01) - Abs Spectra Graphs.dat")</f>
        <v>TMPFApr23 1sD (01) - Abs Spectra Graphs.dat</v>
      </c>
      <c r="I155" s="7">
        <v>1</v>
      </c>
      <c r="J155" s="10">
        <v>1</v>
      </c>
      <c r="K155" s="7">
        <v>3020</v>
      </c>
      <c r="L155" s="13">
        <v>0.80000000000000016</v>
      </c>
    </row>
    <row r="156" spans="1:12" x14ac:dyDescent="0.35">
      <c r="A156" s="22">
        <v>155</v>
      </c>
      <c r="B156" s="8" t="s">
        <v>298</v>
      </c>
      <c r="C156" t="s">
        <v>281</v>
      </c>
      <c r="D156" t="s">
        <v>135</v>
      </c>
      <c r="E156" s="7">
        <v>0.5</v>
      </c>
      <c r="F156" s="7" t="str">
        <f>CONCATENATE(D156," (01) - Waterfall Plot Sample.dat")</f>
        <v>TMPSApr23 4sD (01) - Waterfall Plot Sample.dat</v>
      </c>
      <c r="G156" s="7" t="str">
        <f>CONCATENATE(D156," (01) - Waterfall Plot Blank.dat")</f>
        <v>TMPSApr23 4sD (01) - Waterfall Plot Blank.dat</v>
      </c>
      <c r="H156" s="7" t="str">
        <f>CONCATENATE(D156," (01) - Abs Spectra Graphs.dat")</f>
        <v>TMPSApr23 4sD (01) - Abs Spectra Graphs.dat</v>
      </c>
      <c r="I156" s="7">
        <v>1</v>
      </c>
      <c r="J156" s="10">
        <v>4</v>
      </c>
      <c r="K156" s="7">
        <v>3020</v>
      </c>
      <c r="L156" s="13">
        <v>0.10000000000000002</v>
      </c>
    </row>
    <row r="157" spans="1:12" x14ac:dyDescent="0.35">
      <c r="A157" s="22">
        <v>156</v>
      </c>
      <c r="B157" s="8" t="s">
        <v>298</v>
      </c>
      <c r="C157" t="s">
        <v>282</v>
      </c>
      <c r="D157" t="s">
        <v>136</v>
      </c>
      <c r="E157" s="7">
        <v>0.5</v>
      </c>
      <c r="F157" s="7" t="str">
        <f>CONCATENATE(D157," (01) - Waterfall Plot Sample.dat")</f>
        <v>TMPCdilute 1s (01) - Waterfall Plot Sample.dat</v>
      </c>
      <c r="G157" s="7" t="str">
        <f>CONCATENATE(D157," (01) - Waterfall Plot Blank.dat")</f>
        <v>TMPCdilute 1s (01) - Waterfall Plot Blank.dat</v>
      </c>
      <c r="H157" s="7" t="str">
        <f>CONCATENATE(D157," (01) - Abs Spectra Graphs.dat")</f>
        <v>TMPCdilute 1s (01) - Abs Spectra Graphs.dat</v>
      </c>
      <c r="I157" s="7">
        <v>1</v>
      </c>
      <c r="J157" s="10">
        <v>1</v>
      </c>
      <c r="K157" s="7">
        <v>3020</v>
      </c>
      <c r="L157" s="13">
        <v>0.66666666666666663</v>
      </c>
    </row>
    <row r="158" spans="1:12" x14ac:dyDescent="0.35">
      <c r="A158" s="22">
        <v>157</v>
      </c>
      <c r="B158" s="8" t="s">
        <v>297</v>
      </c>
      <c r="C158" t="s">
        <v>283</v>
      </c>
      <c r="D158" t="s">
        <v>137</v>
      </c>
      <c r="E158" s="7">
        <v>0.5</v>
      </c>
      <c r="F158" s="7" t="str">
        <f>CONCATENATE(D158," (01) - Waterfall Plot Sample.dat")</f>
        <v>TMPS02Feb 2sD (01) - Waterfall Plot Sample.dat</v>
      </c>
      <c r="G158" s="7" t="str">
        <f>CONCATENATE(D158," (01) - Waterfall Plot Blank.dat")</f>
        <v>TMPS02Feb 2sD (01) - Waterfall Plot Blank.dat</v>
      </c>
      <c r="H158" s="7" t="str">
        <f>CONCATENATE(D158," (01) - Abs Spectra Graphs.dat")</f>
        <v>TMPS02Feb 2sD (01) - Abs Spectra Graphs.dat</v>
      </c>
      <c r="I158" s="7">
        <v>1</v>
      </c>
      <c r="J158" s="10">
        <v>2</v>
      </c>
      <c r="K158" s="7">
        <v>2911</v>
      </c>
      <c r="L158" s="13">
        <v>9.9999999999999992E-2</v>
      </c>
    </row>
    <row r="159" spans="1:12" x14ac:dyDescent="0.35">
      <c r="A159" s="22">
        <v>158</v>
      </c>
      <c r="B159" s="8" t="s">
        <v>297</v>
      </c>
      <c r="C159" t="s">
        <v>284</v>
      </c>
      <c r="D159" t="s">
        <v>348</v>
      </c>
      <c r="E159" s="7">
        <v>0.5</v>
      </c>
      <c r="F159" s="7" t="str">
        <f>CONCATENATE(D159," (01) - Waterfall Plot Sample.dat")</f>
        <v>TMPC02Feb 2sD (01) - Waterfall Plot Sample.dat</v>
      </c>
      <c r="G159" s="7" t="str">
        <f>CONCATENATE(D159," (01) - Waterfall Plot Blank.dat")</f>
        <v>TMPC02Feb 2sD (01) - Waterfall Plot Blank.dat</v>
      </c>
      <c r="H159" s="7" t="str">
        <f>CONCATENATE(D159," (01) - Abs Spectra Graphs.dat")</f>
        <v>TMPC02Feb 2sD (01) - Abs Spectra Graphs.dat</v>
      </c>
      <c r="I159" s="7">
        <v>1</v>
      </c>
      <c r="J159" s="10">
        <v>2</v>
      </c>
      <c r="K159" s="7">
        <v>2911</v>
      </c>
      <c r="L159" s="13">
        <v>0.5</v>
      </c>
    </row>
    <row r="160" spans="1:12" x14ac:dyDescent="0.35">
      <c r="A160" s="22">
        <v>159</v>
      </c>
      <c r="B160" s="8" t="s">
        <v>297</v>
      </c>
      <c r="C160" t="s">
        <v>285</v>
      </c>
      <c r="D160" t="s">
        <v>138</v>
      </c>
      <c r="E160" s="7">
        <v>0.5</v>
      </c>
      <c r="F160" s="7" t="str">
        <f>CONCATENATE(D160," (01) - Waterfall Plot Sample.dat")</f>
        <v>TMPF02Feb 2sD (01) - Waterfall Plot Sample.dat</v>
      </c>
      <c r="G160" s="7" t="str">
        <f>CONCATENATE(D160," (01) - Waterfall Plot Blank.dat")</f>
        <v>TMPF02Feb 2sD (01) - Waterfall Plot Blank.dat</v>
      </c>
      <c r="H160" s="7" t="str">
        <f>CONCATENATE(D160," (01) - Abs Spectra Graphs.dat")</f>
        <v>TMPF02Feb 2sD (01) - Abs Spectra Graphs.dat</v>
      </c>
      <c r="I160" s="7">
        <v>1</v>
      </c>
      <c r="J160" s="10">
        <v>2</v>
      </c>
      <c r="K160" s="7">
        <v>2911</v>
      </c>
      <c r="L160" s="13">
        <v>0.5</v>
      </c>
    </row>
    <row r="161" spans="1:12" x14ac:dyDescent="0.35">
      <c r="A161" s="22">
        <v>160</v>
      </c>
      <c r="B161" s="8" t="s">
        <v>296</v>
      </c>
      <c r="C161" t="s">
        <v>286</v>
      </c>
      <c r="D161" t="s">
        <v>139</v>
      </c>
      <c r="E161" s="7">
        <v>0.5</v>
      </c>
      <c r="F161" s="7" t="str">
        <f>CONCATENATE(D161," (01) - Waterfall Plot Sample.dat")</f>
        <v>TMPFDec 2sD (01) - Waterfall Plot Sample.dat</v>
      </c>
      <c r="G161" s="7" t="str">
        <f>CONCATENATE(D161," (01) - Waterfall Plot Blank.dat")</f>
        <v>TMPFDec 2sD (01) - Waterfall Plot Blank.dat</v>
      </c>
      <c r="H161" s="7" t="str">
        <f>CONCATENATE(D161," (01) - Abs Spectra Graphs.dat")</f>
        <v>TMPFDec 2sD (01) - Abs Spectra Graphs.dat</v>
      </c>
      <c r="I161" s="7">
        <v>1</v>
      </c>
      <c r="J161" s="10">
        <v>2</v>
      </c>
      <c r="K161" s="7">
        <v>2827</v>
      </c>
      <c r="L161" s="13">
        <v>0.5</v>
      </c>
    </row>
    <row r="162" spans="1:12" x14ac:dyDescent="0.35">
      <c r="A162" s="22">
        <v>161</v>
      </c>
      <c r="B162" s="8" t="s">
        <v>296</v>
      </c>
      <c r="C162" t="s">
        <v>287</v>
      </c>
      <c r="D162" t="s">
        <v>140</v>
      </c>
      <c r="E162" s="7">
        <v>0.5</v>
      </c>
      <c r="F162" s="7" t="str">
        <f>CONCATENATE(D162," (01) - Waterfall Plot Sample.dat")</f>
        <v>TMPSDec 4sD (01) - Waterfall Plot Sample.dat</v>
      </c>
      <c r="G162" s="7" t="str">
        <f>CONCATENATE(D162," (01) - Waterfall Plot Blank.dat")</f>
        <v>TMPSDec 4sD (01) - Waterfall Plot Blank.dat</v>
      </c>
      <c r="H162" s="7" t="str">
        <f>CONCATENATE(D162," (01) - Abs Spectra Graphs.dat")</f>
        <v>TMPSDec 4sD (01) - Abs Spectra Graphs.dat</v>
      </c>
      <c r="I162" s="7">
        <v>1</v>
      </c>
      <c r="J162" s="10">
        <v>4</v>
      </c>
      <c r="K162" s="7">
        <v>2827</v>
      </c>
      <c r="L162" s="13">
        <v>9.9999999999999992E-2</v>
      </c>
    </row>
    <row r="163" spans="1:12" x14ac:dyDescent="0.35">
      <c r="A163" s="22">
        <v>162</v>
      </c>
      <c r="B163" s="8" t="s">
        <v>296</v>
      </c>
      <c r="C163" t="s">
        <v>288</v>
      </c>
      <c r="D163" t="s">
        <v>141</v>
      </c>
      <c r="E163" s="7">
        <v>0.5</v>
      </c>
      <c r="F163" s="7" t="str">
        <f>CONCATENATE(D163," (01) - Waterfall Plot Sample.dat")</f>
        <v>TMPCDec 2sD (01) - Waterfall Plot Sample.dat</v>
      </c>
      <c r="G163" s="7" t="str">
        <f>CONCATENATE(D163," (01) - Waterfall Plot Blank.dat")</f>
        <v>TMPCDec 2sD (01) - Waterfall Plot Blank.dat</v>
      </c>
      <c r="H163" s="7" t="str">
        <f>CONCATENATE(D163," (01) - Abs Spectra Graphs.dat")</f>
        <v>TMPCDec 2sD (01) - Abs Spectra Graphs.dat</v>
      </c>
      <c r="I163" s="7">
        <v>1</v>
      </c>
      <c r="J163" s="10">
        <v>2</v>
      </c>
      <c r="K163" s="7">
        <v>2827</v>
      </c>
      <c r="L163" s="13">
        <v>0.5</v>
      </c>
    </row>
    <row r="164" spans="1:12" x14ac:dyDescent="0.35">
      <c r="A164" s="22">
        <v>163</v>
      </c>
      <c r="B164" s="8" t="s">
        <v>295</v>
      </c>
      <c r="C164" t="s">
        <v>289</v>
      </c>
      <c r="D164" t="s">
        <v>142</v>
      </c>
      <c r="E164" s="7">
        <v>0.5</v>
      </c>
      <c r="F164" s="7" t="str">
        <f>CONCATENATE(D164," (01) - Waterfall Plot Sample.dat")</f>
        <v>TMPF26Oct 2sD (01) - Waterfall Plot Sample.dat</v>
      </c>
      <c r="G164" s="7" t="str">
        <f>CONCATENATE(D164," (01) - Waterfall Plot Blank.dat")</f>
        <v>TMPF26Oct 2sD (01) - Waterfall Plot Blank.dat</v>
      </c>
      <c r="H164" s="7" t="str">
        <f>CONCATENATE(D164," (01) - Abs Spectra Graphs.dat")</f>
        <v>TMPF26Oct 2sD (01) - Abs Spectra Graphs.dat</v>
      </c>
      <c r="I164" s="7">
        <v>1</v>
      </c>
      <c r="J164" s="10">
        <v>2</v>
      </c>
      <c r="K164" s="7">
        <v>2935</v>
      </c>
      <c r="L164" s="13">
        <v>0.5</v>
      </c>
    </row>
    <row r="165" spans="1:12" x14ac:dyDescent="0.35">
      <c r="A165" s="22">
        <v>164</v>
      </c>
      <c r="B165" s="8" t="s">
        <v>295</v>
      </c>
      <c r="C165" t="s">
        <v>290</v>
      </c>
      <c r="D165" t="s">
        <v>143</v>
      </c>
      <c r="E165" s="7">
        <v>0.5</v>
      </c>
      <c r="F165" s="7" t="str">
        <f>CONCATENATE(D165," (01) - Waterfall Plot Sample.dat")</f>
        <v>TMPS26Oct 2sD (01) - Waterfall Plot Sample.dat</v>
      </c>
      <c r="G165" s="7" t="str">
        <f>CONCATENATE(D165," (01) - Waterfall Plot Blank.dat")</f>
        <v>TMPS26Oct 2sD (01) - Waterfall Plot Blank.dat</v>
      </c>
      <c r="H165" s="7" t="str">
        <f>CONCATENATE(D165," (01) - Abs Spectra Graphs.dat")</f>
        <v>TMPS26Oct 2sD (01) - Abs Spectra Graphs.dat</v>
      </c>
      <c r="I165" s="7">
        <v>1</v>
      </c>
      <c r="J165" s="10">
        <v>2</v>
      </c>
      <c r="K165" s="7">
        <v>2935</v>
      </c>
      <c r="L165" s="13">
        <v>9.9999999999999992E-2</v>
      </c>
    </row>
    <row r="166" spans="1:12" x14ac:dyDescent="0.35">
      <c r="A166" s="22">
        <v>165</v>
      </c>
      <c r="B166" s="8" t="s">
        <v>295</v>
      </c>
      <c r="C166" t="s">
        <v>291</v>
      </c>
      <c r="D166" t="s">
        <v>144</v>
      </c>
      <c r="E166" s="7">
        <v>0.5</v>
      </c>
      <c r="F166" s="7" t="str">
        <f>CONCATENATE(D166," (01) - Waterfall Plot Sample.dat")</f>
        <v>TMPC26Oct 2sD (01) - Waterfall Plot Sample.dat</v>
      </c>
      <c r="G166" s="7" t="str">
        <f>CONCATENATE(D166," (01) - Waterfall Plot Blank.dat")</f>
        <v>TMPC26Oct 2sD (01) - Waterfall Plot Blank.dat</v>
      </c>
      <c r="H166" s="7" t="str">
        <f>CONCATENATE(D166," (01) - Abs Spectra Graphs.dat")</f>
        <v>TMPC26Oct 2sD (01) - Abs Spectra Graphs.dat</v>
      </c>
      <c r="I166" s="7">
        <v>1</v>
      </c>
      <c r="J166" s="10">
        <v>2</v>
      </c>
      <c r="K166" s="7">
        <v>2935</v>
      </c>
      <c r="L166" s="13">
        <v>0.5</v>
      </c>
    </row>
  </sheetData>
  <sortState xmlns:xlrd2="http://schemas.microsoft.com/office/spreadsheetml/2017/richdata2" ref="A2:M166">
    <sortCondition ref="A2:A166"/>
  </sortState>
  <phoneticPr fontId="2" type="noConversion"/>
  <dataValidations count="2">
    <dataValidation operator="lessThan" allowBlank="1" showInputMessage="1" showErrorMessage="1" sqref="C1:C10" xr:uid="{5FA5E408-7820-4560-9448-59549073E559}"/>
    <dataValidation type="textLength" operator="lessThan" allowBlank="1" showInputMessage="1" showErrorMessage="1" sqref="C11:C132 C136:C1048576" xr:uid="{91B65685-9DD5-4A81-A397-EEC12A8E737E}">
      <formula1>60</formula1>
    </dataValidation>
  </dataValidation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81640625"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8.81640625"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cece13e-3376-4417-9525-be60b11a89a8" xsi:nil="true"/>
    <lcf76f155ced4ddcb4097134ff3c332f xmlns="03570766-e33a-4164-8943-6d32a7ac417a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DC853A563ABF64B8421887057055B0F" ma:contentTypeVersion="13" ma:contentTypeDescription="Create a new document." ma:contentTypeScope="" ma:versionID="73e5d7f23b6143b72c394d0b791b373d">
  <xsd:schema xmlns:xsd="http://www.w3.org/2001/XMLSchema" xmlns:xs="http://www.w3.org/2001/XMLSchema" xmlns:p="http://schemas.microsoft.com/office/2006/metadata/properties" xmlns:ns2="03570766-e33a-4164-8943-6d32a7ac417a" xmlns:ns3="5cece13e-3376-4417-9525-be60b11a89a8" xmlns:ns4="482683a9-e61d-4853-b10b-3f4a908e17aa" targetNamespace="http://schemas.microsoft.com/office/2006/metadata/properties" ma:root="true" ma:fieldsID="bd41d5c3e91c11ef649cb8e5f5e12511" ns2:_="" ns3:_="" ns4:_="">
    <xsd:import namespace="03570766-e33a-4164-8943-6d32a7ac417a"/>
    <xsd:import namespace="5cece13e-3376-4417-9525-be60b11a89a8"/>
    <xsd:import namespace="482683a9-e61d-4853-b10b-3f4a908e17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4:SharedWithUsers" minOccurs="0"/>
                <xsd:element ref="ns4:SharedWithDetail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570766-e33a-4164-8943-6d32a7ac417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260f1aaf-6244-4bb9-9bf9-38bf373853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ce13e-3376-4417-9525-be60b11a89a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32c29049-4fc3-4a52-bb3d-4f0ab258ea96}" ma:internalName="TaxCatchAll" ma:showField="CatchAllData" ma:web="482683a9-e61d-4853-b10b-3f4a908e17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683a9-e61d-4853-b10b-3f4a908e17aa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B3EC132-AE09-49A9-9F73-CA228012CF64}">
  <ds:schemaRefs>
    <ds:schemaRef ds:uri="03570766-e33a-4164-8943-6d32a7ac417a"/>
    <ds:schemaRef ds:uri="http://schemas.microsoft.com/office/2006/metadata/properties"/>
    <ds:schemaRef ds:uri="http://schemas.microsoft.com/office/2006/documentManagement/types"/>
    <ds:schemaRef ds:uri="http://purl.org/dc/elements/1.1/"/>
    <ds:schemaRef ds:uri="482683a9-e61d-4853-b10b-3f4a908e17aa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5cece13e-3376-4417-9525-be60b11a89a8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DE374503-5BF4-481D-B338-14E9BC1FDE0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3570766-e33a-4164-8943-6d32a7ac417a"/>
    <ds:schemaRef ds:uri="5cece13e-3376-4417-9525-be60b11a89a8"/>
    <ds:schemaRef ds:uri="482683a9-e61d-4853-b10b-3f4a908e17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9FB7EDA-9EAA-4A5E-8E50-90310A888DC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</vt:lpstr>
      <vt:lpstr>Sheet2</vt:lpstr>
      <vt:lpstr>Sheet3</vt:lpstr>
    </vt:vector>
  </TitlesOfParts>
  <Manager/>
  <Company>MUN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Ziegler</dc:creator>
  <cp:keywords/>
  <dc:description/>
  <cp:lastModifiedBy>Roebuck, Alan</cp:lastModifiedBy>
  <cp:revision/>
  <dcterms:created xsi:type="dcterms:W3CDTF">2019-11-03T12:45:59Z</dcterms:created>
  <dcterms:modified xsi:type="dcterms:W3CDTF">2023-09-13T19:42:42Z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0x0101006DC853A563ABF64B8421887057055B0F</vt:lpwstr>
  </property>
</Properties>
</file>